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l\OneDrive\Desktop\"/>
    </mc:Choice>
  </mc:AlternateContent>
  <xr:revisionPtr revIDLastSave="0" documentId="8_{3AE9C4E4-56E4-4CE1-B7DE-55C58E77DF2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_Data" sheetId="1" r:id="rId1"/>
    <sheet name="Product_Lookup" sheetId="3" r:id="rId2"/>
  </sheets>
  <definedNames>
    <definedName name="_xlnm._FilterDatabase" localSheetId="0" hidden="1">Sales_Data!#REF!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5" i="1" l="1"/>
  <c r="I114" i="1"/>
  <c r="I111" i="1"/>
  <c r="I110" i="1"/>
  <c r="I109" i="1"/>
  <c r="I108" i="1"/>
  <c r="F123" i="1"/>
  <c r="F127" i="1"/>
  <c r="F120" i="1"/>
  <c r="F128" i="1"/>
  <c r="F124" i="1"/>
  <c r="F125" i="1"/>
  <c r="F121" i="1"/>
  <c r="F122" i="1"/>
  <c r="F126" i="1"/>
  <c r="F119" i="1"/>
  <c r="F115" i="1"/>
  <c r="F110" i="1"/>
  <c r="F107" i="1"/>
  <c r="F109" i="1"/>
  <c r="F113" i="1"/>
  <c r="F108" i="1"/>
  <c r="F114" i="1"/>
  <c r="F112" i="1"/>
  <c r="F111" i="1"/>
  <c r="F116" i="1"/>
  <c r="C118" i="1"/>
  <c r="C119" i="1"/>
  <c r="C120" i="1"/>
  <c r="C12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  <c r="C107" i="1"/>
  <c r="C108" i="1"/>
  <c r="C109" i="1"/>
  <c r="C110" i="1"/>
  <c r="D2" i="1"/>
  <c r="B14" i="3" s="1"/>
  <c r="D3" i="1"/>
  <c r="D4" i="1"/>
  <c r="B11" i="3" s="1"/>
  <c r="D5" i="1"/>
  <c r="B3" i="3" s="1"/>
  <c r="D6" i="1"/>
  <c r="D7" i="1"/>
  <c r="D8" i="1"/>
  <c r="B17" i="3" s="1"/>
  <c r="D9" i="1"/>
  <c r="D10" i="1"/>
  <c r="B2" i="3" s="1"/>
  <c r="D11" i="1"/>
  <c r="B6" i="3" s="1"/>
  <c r="D12" i="1"/>
  <c r="D13" i="1"/>
  <c r="B20" i="3" s="1"/>
  <c r="D14" i="1"/>
  <c r="D15" i="1"/>
  <c r="D16" i="1"/>
  <c r="D17" i="1"/>
  <c r="B7" i="3" s="1"/>
  <c r="D18" i="1"/>
  <c r="B19" i="3" s="1"/>
  <c r="D19" i="1"/>
  <c r="D20" i="1"/>
  <c r="B30" i="3" s="1"/>
  <c r="D21" i="1"/>
  <c r="B12" i="3" s="1"/>
  <c r="D22" i="1"/>
  <c r="D23" i="1"/>
  <c r="D24" i="1"/>
  <c r="D25" i="1"/>
  <c r="B23" i="3" s="1"/>
  <c r="D26" i="1"/>
  <c r="D27" i="1"/>
  <c r="D28" i="1"/>
  <c r="D29" i="1"/>
  <c r="D30" i="1"/>
  <c r="D31" i="1"/>
  <c r="D32" i="1"/>
  <c r="D33" i="1"/>
  <c r="D34" i="1"/>
  <c r="D35" i="1"/>
  <c r="D36" i="1"/>
  <c r="D37" i="1"/>
  <c r="B28" i="3" s="1"/>
  <c r="D38" i="1"/>
  <c r="D39" i="1"/>
  <c r="D40" i="1"/>
  <c r="D41" i="1"/>
  <c r="D42" i="1"/>
  <c r="D43" i="1"/>
  <c r="B27" i="3" s="1"/>
  <c r="D44" i="1"/>
  <c r="B24" i="3" s="1"/>
  <c r="D45" i="1"/>
  <c r="D46" i="1"/>
  <c r="D47" i="1"/>
  <c r="B4" i="3" s="1"/>
  <c r="D48" i="1"/>
  <c r="B25" i="3" s="1"/>
  <c r="D49" i="1"/>
  <c r="D50" i="1"/>
  <c r="D51" i="1"/>
  <c r="B26" i="3" s="1"/>
  <c r="D52" i="1"/>
  <c r="D53" i="1"/>
  <c r="D54" i="1"/>
  <c r="D55" i="1"/>
  <c r="B13" i="3" s="1"/>
  <c r="D56" i="1"/>
  <c r="D57" i="1"/>
  <c r="D58" i="1"/>
  <c r="B9" i="3" s="1"/>
  <c r="D59" i="1"/>
  <c r="D60" i="1"/>
  <c r="D61" i="1"/>
  <c r="D62" i="1"/>
  <c r="D63" i="1"/>
  <c r="D64" i="1"/>
  <c r="D65" i="1"/>
  <c r="D66" i="1"/>
  <c r="D67" i="1"/>
  <c r="D68" i="1"/>
  <c r="B5" i="3" s="1"/>
  <c r="D69" i="1"/>
  <c r="D70" i="1"/>
  <c r="D71" i="1"/>
  <c r="D72" i="1"/>
  <c r="D73" i="1"/>
  <c r="D74" i="1"/>
  <c r="D75" i="1"/>
  <c r="D76" i="1"/>
  <c r="D77" i="1"/>
  <c r="D78" i="1"/>
  <c r="D79" i="1"/>
  <c r="B18" i="3" s="1"/>
  <c r="D80" i="1"/>
  <c r="D81" i="1"/>
  <c r="D82" i="1"/>
  <c r="D83" i="1"/>
  <c r="B22" i="3" s="1"/>
  <c r="D84" i="1"/>
  <c r="D85" i="1"/>
  <c r="D86" i="1"/>
  <c r="B16" i="3" s="1"/>
  <c r="D87" i="1"/>
  <c r="B10" i="3" s="1"/>
  <c r="D88" i="1"/>
  <c r="D89" i="1"/>
  <c r="D90" i="1"/>
  <c r="B15" i="3" s="1"/>
  <c r="D91" i="1"/>
  <c r="D92" i="1"/>
  <c r="D93" i="1"/>
  <c r="D94" i="1"/>
  <c r="B29" i="3" s="1"/>
  <c r="D95" i="1"/>
  <c r="D96" i="1"/>
  <c r="D97" i="1"/>
  <c r="D98" i="1"/>
  <c r="B21" i="3" s="1"/>
  <c r="D99" i="1"/>
  <c r="B8" i="3" s="1"/>
  <c r="D100" i="1"/>
  <c r="D101" i="1"/>
  <c r="D11" i="3" l="1"/>
  <c r="C9" i="3"/>
  <c r="D19" i="3"/>
  <c r="C25" i="3"/>
  <c r="C17" i="3"/>
  <c r="C4" i="3"/>
  <c r="C10" i="3"/>
  <c r="D10" i="3"/>
  <c r="C18" i="3"/>
  <c r="D18" i="3"/>
  <c r="D13" i="3"/>
  <c r="C13" i="3"/>
  <c r="D29" i="3"/>
  <c r="C29" i="3"/>
  <c r="C16" i="3"/>
  <c r="D16" i="3"/>
  <c r="C12" i="3"/>
  <c r="D12" i="3"/>
  <c r="D5" i="3"/>
  <c r="C5" i="3"/>
  <c r="C30" i="3"/>
  <c r="D30" i="3"/>
  <c r="C22" i="3"/>
  <c r="D22" i="3"/>
  <c r="C26" i="3"/>
  <c r="D26" i="3"/>
  <c r="D27" i="3"/>
  <c r="C27" i="3"/>
  <c r="C6" i="3"/>
  <c r="D6" i="3"/>
  <c r="D20" i="3"/>
  <c r="C20" i="3"/>
  <c r="D21" i="3"/>
  <c r="C21" i="3"/>
  <c r="D2" i="3"/>
  <c r="C2" i="3"/>
  <c r="C14" i="3"/>
  <c r="D14" i="3"/>
  <c r="D28" i="3"/>
  <c r="C28" i="3"/>
  <c r="D3" i="3"/>
  <c r="C3" i="3"/>
  <c r="C24" i="3"/>
  <c r="D24" i="3"/>
  <c r="C8" i="3"/>
  <c r="D8" i="3"/>
  <c r="D15" i="3"/>
  <c r="C15" i="3"/>
  <c r="D23" i="3"/>
  <c r="C23" i="3"/>
  <c r="D7" i="3"/>
  <c r="C7" i="3"/>
  <c r="D4" i="3"/>
  <c r="D25" i="3"/>
  <c r="D17" i="3"/>
  <c r="D9" i="3"/>
  <c r="C19" i="3"/>
  <c r="C11" i="3"/>
  <c r="C115" i="1"/>
  <c r="C114" i="1"/>
  <c r="C113" i="1"/>
</calcChain>
</file>

<file path=xl/sharedStrings.xml><?xml version="1.0" encoding="utf-8"?>
<sst xmlns="http://schemas.openxmlformats.org/spreadsheetml/2006/main" count="793" uniqueCount="244">
  <si>
    <t>Transaction_ID</t>
  </si>
  <si>
    <t>Gender</t>
  </si>
  <si>
    <t>Product_Category</t>
  </si>
  <si>
    <t>Product_Name</t>
  </si>
  <si>
    <t>Quantity</t>
  </si>
  <si>
    <t>Unit_Price</t>
  </si>
  <si>
    <t>Total_Sales</t>
  </si>
  <si>
    <t>Purchase_Date</t>
  </si>
  <si>
    <t>Region</t>
  </si>
  <si>
    <t>TXN001</t>
  </si>
  <si>
    <t>Male</t>
  </si>
  <si>
    <t>Electronics</t>
  </si>
  <si>
    <t>Laptop</t>
  </si>
  <si>
    <t>Lagos</t>
  </si>
  <si>
    <t>TXN002</t>
  </si>
  <si>
    <t>Furniture</t>
  </si>
  <si>
    <t>Sofa</t>
  </si>
  <si>
    <t>TXN003</t>
  </si>
  <si>
    <t>Abuja</t>
  </si>
  <si>
    <t>TXN004</t>
  </si>
  <si>
    <t>Groceries</t>
  </si>
  <si>
    <t>Bread</t>
  </si>
  <si>
    <t>TXN005</t>
  </si>
  <si>
    <t>Smartphone</t>
  </si>
  <si>
    <t>Kano</t>
  </si>
  <si>
    <t>TXN006</t>
  </si>
  <si>
    <t>Female</t>
  </si>
  <si>
    <t>TXN007</t>
  </si>
  <si>
    <t>Headphones</t>
  </si>
  <si>
    <t>TXN008</t>
  </si>
  <si>
    <t>TXN009</t>
  </si>
  <si>
    <t>TXN010</t>
  </si>
  <si>
    <t>Rice Bag</t>
  </si>
  <si>
    <t>Port Harcourt</t>
  </si>
  <si>
    <t>TXN011</t>
  </si>
  <si>
    <t>TXN012</t>
  </si>
  <si>
    <t>TXN013</t>
  </si>
  <si>
    <t>TXN014</t>
  </si>
  <si>
    <t>Clothing</t>
  </si>
  <si>
    <t>T-shirt</t>
  </si>
  <si>
    <t>TXN015</t>
  </si>
  <si>
    <t>TXN016</t>
  </si>
  <si>
    <t>TXN017</t>
  </si>
  <si>
    <t>TXN018</t>
  </si>
  <si>
    <t>TXN019</t>
  </si>
  <si>
    <t>TXN020</t>
  </si>
  <si>
    <t>Jeans</t>
  </si>
  <si>
    <t>TXN021</t>
  </si>
  <si>
    <t>Table</t>
  </si>
  <si>
    <t>TXN022</t>
  </si>
  <si>
    <t>TXN023</t>
  </si>
  <si>
    <t>TXN024</t>
  </si>
  <si>
    <t>TXN025</t>
  </si>
  <si>
    <t>Chair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</si>
  <si>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</si>
  <si>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</si>
  <si>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</si>
  <si>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</si>
  <si>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</si>
  <si>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</si>
  <si>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</si>
  <si>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</si>
  <si>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</si>
  <si>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</si>
  <si>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</si>
  <si>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</si>
  <si>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</si>
  <si>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</si>
  <si>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</si>
  <si>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</si>
  <si>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</si>
  <si>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</si>
  <si>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</si>
  <si>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</si>
  <si>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</si>
  <si>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</si>
  <si>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</si>
  <si>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</si>
  <si>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</si>
  <si>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</si>
  <si>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</si>
  <si>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</si>
  <si>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</si>
  <si>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</si>
  <si>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</si>
  <si>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</si>
  <si>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</si>
  <si>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</si>
  <si>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</si>
  <si>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</si>
  <si>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</si>
  <si>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</si>
  <si>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</si>
  <si>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</si>
  <si>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</si>
  <si>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</si>
  <si>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</si>
  <si>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</si>
  <si>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</si>
  <si>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</si>
  <si>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</si>
  <si>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</si>
  <si>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</si>
  <si>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</si>
  <si>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</si>
  <si>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</si>
  <si>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</si>
  <si>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</si>
  <si>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</si>
  <si>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</si>
  <si>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</si>
  <si>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</si>
  <si>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</si>
  <si>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</si>
  <si>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</si>
  <si>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</si>
  <si>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</si>
  <si>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</si>
  <si>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</si>
  <si>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</si>
  <si>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</si>
  <si>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</si>
  <si>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</si>
  <si>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</si>
  <si>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</si>
  <si>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</si>
  <si>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</si>
  <si>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</si>
  <si>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</si>
  <si>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First Name</t>
  </si>
  <si>
    <t>Olatoke</t>
  </si>
  <si>
    <t>Olorunleke</t>
  </si>
  <si>
    <t>Adekunle</t>
  </si>
  <si>
    <t>George</t>
  </si>
  <si>
    <t>Ike</t>
  </si>
  <si>
    <t>Linda</t>
  </si>
  <si>
    <t>Adams</t>
  </si>
  <si>
    <t>Faith</t>
  </si>
  <si>
    <t>Salami</t>
  </si>
  <si>
    <t>Yusuf</t>
  </si>
  <si>
    <t>Taiwo</t>
  </si>
  <si>
    <t>Fatima</t>
  </si>
  <si>
    <t>Balogun</t>
  </si>
  <si>
    <t>David</t>
  </si>
  <si>
    <t>Ibrahim</t>
  </si>
  <si>
    <t>Emeka</t>
  </si>
  <si>
    <t>Obi</t>
  </si>
  <si>
    <t>Mary</t>
  </si>
  <si>
    <t>Seun</t>
  </si>
  <si>
    <t>Grace</t>
  </si>
  <si>
    <t>Funke</t>
  </si>
  <si>
    <t>Eze</t>
  </si>
  <si>
    <t>Blessing</t>
  </si>
  <si>
    <t>Brown</t>
  </si>
  <si>
    <t>Oluwaseun</t>
  </si>
  <si>
    <t>Olawale</t>
  </si>
  <si>
    <t>Ferdinand</t>
  </si>
  <si>
    <t>John</t>
  </si>
  <si>
    <t>Yekini</t>
  </si>
  <si>
    <t>Okafor</t>
  </si>
  <si>
    <t>Nwosu</t>
  </si>
  <si>
    <t>Mohammed</t>
  </si>
  <si>
    <t>Peter</t>
  </si>
  <si>
    <t>Chika</t>
  </si>
  <si>
    <t>Chioma</t>
  </si>
  <si>
    <t>Smith</t>
  </si>
  <si>
    <t>Damilola</t>
  </si>
  <si>
    <t>Ademola</t>
  </si>
  <si>
    <t>Sarah</t>
  </si>
  <si>
    <t>Tope</t>
  </si>
  <si>
    <t>Johnson</t>
  </si>
  <si>
    <t>Henry</t>
  </si>
  <si>
    <t>Ahmed</t>
  </si>
  <si>
    <t>Ojo</t>
  </si>
  <si>
    <t>Adefunke</t>
  </si>
  <si>
    <t>Adeife</t>
  </si>
  <si>
    <t>Ngozi</t>
  </si>
  <si>
    <t>Usman</t>
  </si>
  <si>
    <t>Joseph</t>
  </si>
  <si>
    <t>Musa</t>
  </si>
  <si>
    <t>Sharon</t>
  </si>
  <si>
    <t>Okonkwo</t>
  </si>
  <si>
    <t>Patricia</t>
  </si>
  <si>
    <t>Sade</t>
  </si>
  <si>
    <t>Prosper</t>
  </si>
  <si>
    <t>Favour</t>
  </si>
  <si>
    <t>Muhammed</t>
  </si>
  <si>
    <t>Femi</t>
  </si>
  <si>
    <t>Mariam</t>
  </si>
  <si>
    <t>Zainab</t>
  </si>
  <si>
    <t>Godwin</t>
  </si>
  <si>
    <t>Gideon</t>
  </si>
  <si>
    <t>Morenikeji</t>
  </si>
  <si>
    <t>Daniel</t>
  </si>
  <si>
    <t>Opemipo</t>
  </si>
  <si>
    <t>Ayomide</t>
  </si>
  <si>
    <t>Simon</t>
  </si>
  <si>
    <t>Fisayo</t>
  </si>
  <si>
    <t>Sandra</t>
  </si>
  <si>
    <t>Olumuyiwa</t>
  </si>
  <si>
    <t>Aisha</t>
  </si>
  <si>
    <t>Michael</t>
  </si>
  <si>
    <t>Okocha</t>
  </si>
  <si>
    <t>Nwanwko</t>
  </si>
  <si>
    <t>Ibukun</t>
  </si>
  <si>
    <t>Lawal</t>
  </si>
  <si>
    <t>Olatunde</t>
  </si>
  <si>
    <t>Okoro</t>
  </si>
  <si>
    <t>Garba</t>
  </si>
  <si>
    <t>Olayinka</t>
  </si>
  <si>
    <t>Adeleke</t>
  </si>
  <si>
    <t>Cynthia</t>
  </si>
  <si>
    <t>Feyisayo</t>
  </si>
  <si>
    <t>Kafayat</t>
  </si>
  <si>
    <t>Olagoke</t>
  </si>
  <si>
    <t>Adeyemo</t>
  </si>
  <si>
    <t>Bello</t>
  </si>
  <si>
    <t>Shalewa</t>
  </si>
  <si>
    <t>Adegoke</t>
  </si>
  <si>
    <t>Bolaji</t>
  </si>
  <si>
    <t>Oshodi</t>
  </si>
  <si>
    <t>Alex</t>
  </si>
  <si>
    <t>Goodness</t>
  </si>
  <si>
    <t>Omolola</t>
  </si>
  <si>
    <t>Kolawole</t>
  </si>
  <si>
    <t>Abiodun</t>
  </si>
  <si>
    <t>Famuyiwa</t>
  </si>
  <si>
    <t>Last Name</t>
  </si>
  <si>
    <t>Full Name</t>
  </si>
  <si>
    <t>Total sales</t>
  </si>
  <si>
    <t>Year</t>
  </si>
  <si>
    <t>Category</t>
  </si>
  <si>
    <t>Location</t>
  </si>
  <si>
    <t xml:space="preserve">SALES PERFORMANCE </t>
  </si>
  <si>
    <t xml:space="preserve">Total Sales Across Categories </t>
  </si>
  <si>
    <t xml:space="preserve">Total Sales Per Year </t>
  </si>
  <si>
    <t>Total Sales Per Location</t>
  </si>
  <si>
    <t>PRODUCT ANALYSIS</t>
  </si>
  <si>
    <t>Best Selling Product</t>
  </si>
  <si>
    <t>Most Frequently Purchased Product</t>
  </si>
  <si>
    <t>CUSTOMER/INVENTORY ANALYSIS</t>
  </si>
  <si>
    <t>Average Quantity Sold Per Product Category</t>
  </si>
  <si>
    <t>Average Quantity</t>
  </si>
  <si>
    <t>CUSTOMER INSIGHTS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</si>
</sst>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₦-466]\ #,##0"/>
    <numFmt numFmtId="165" formatCode="&quot;₦&quot;#,##0.00"/>
    <numFmt numFmtId="166" formatCode="&quot;₦&quot;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0">
    <xf numFmtId="0" fontId="0" fillId="0" borderId="0" xfId="0"/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166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1" fillId="2" borderId="1" xfId="0" applyFont="1" applyFill="1" applyBorder="1" applyAlignment="1">
      <alignment horizontal="center" vertical="top"/>
    </xf>
    <xf numFmtId="49" fontId="0" fillId="3" borderId="1" xfId="0" applyNumberFormat="1" applyFill="1" applyBorder="1"/>
    <xf numFmtId="0" fontId="0" fillId="3" borderId="1" xfId="0" applyFill="1" applyBorder="1"/>
    <xf numFmtId="49" fontId="0" fillId="4" borderId="1" xfId="0" applyNumberFormat="1" applyFill="1" applyBorder="1"/>
    <xf numFmtId="1" fontId="0" fillId="3" borderId="1" xfId="0" applyNumberFormat="1" applyFill="1" applyBorder="1"/>
    <xf numFmtId="164" fontId="0" fillId="3" borderId="1" xfId="0" applyNumberFormat="1" applyFill="1" applyBorder="1"/>
    <xf numFmtId="14" fontId="0" fillId="3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/>
    <xf numFmtId="164" fontId="0" fillId="4" borderId="1" xfId="0" applyNumberFormat="1" applyFill="1" applyBorder="1"/>
    <xf numFmtId="14" fontId="0" fillId="4" borderId="1" xfId="0" applyNumberFormat="1" applyFill="1" applyBorder="1"/>
    <xf numFmtId="0" fontId="0" fillId="0" borderId="1" xfId="0" applyBorder="1"/>
    <xf numFmtId="166" fontId="0" fillId="0" borderId="1" xfId="0" applyNumberFormat="1" applyBorder="1"/>
    <xf numFmtId="0" fontId="3" fillId="0" borderId="1" xfId="0" applyFont="1" applyBorder="1"/>
    <xf numFmtId="165" fontId="0" fillId="0" borderId="1" xfId="0" applyNumberFormat="1" applyBorder="1"/>
    <xf numFmtId="9" fontId="0" fillId="0" borderId="1" xfId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/>
    <xf numFmtId="0" fontId="0" fillId="0" borderId="0" xfId="0" applyBorder="1"/>
    <xf numFmtId="166" fontId="0" fillId="0" borderId="0" xfId="0" applyNumberFormat="1" applyBorder="1"/>
    <xf numFmtId="2" fontId="0" fillId="0" borderId="1" xfId="0" applyNumberFormat="1" applyBorder="1" applyAlignment="1">
      <alignment horizontal="center"/>
    </xf>
    <xf numFmtId="2" fontId="0" fillId="0" borderId="0" xfId="0" applyNumberFormat="1" applyBorder="1" applyAlignment="1"/>
    <xf numFmtId="0" fontId="0" fillId="0" borderId="0" xfId="0" applyAlignment="1"/>
    <xf numFmtId="0" fontId="4" fillId="6" borderId="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164" fontId="4" fillId="6" borderId="2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282EFE-8233-45F5-B9B7-04E46F51D95E}" name="Table2" displayName="Table2" ref="A1:D30" totalsRowShown="0">
  <autoFilter ref="A1:D30" xr:uid="{03282EFE-8233-45F5-B9B7-04E46F51D95E}"/>
  <tableColumns count="4">
    <tableColumn id="1" xr3:uid="{3C391F25-C8BA-4B45-BE28-C1D9D106A7DD}" name="Transaction_ID" dataDxfId="3"/>
    <tableColumn id="2" xr3:uid="{21E6FC4F-558B-4B84-BD3F-AE6C53F8C973}" name="Full Name" dataDxfId="2">
      <calculatedColumnFormula>VLOOKUP(Product_Lookup!A2,Sales_Data!$A$2:$M$101,4,)</calculatedColumnFormula>
    </tableColumn>
    <tableColumn id="3" xr3:uid="{0E53900A-30A3-4240-8BD7-961B1A30B5CF}" name="Gender" dataDxfId="1">
      <calculatedColumnFormula>_xlfn.XLOOKUP(B2,Sales_Data!$D$2:$D$101,Sales_Data!$E$2:$E$101)</calculatedColumnFormula>
    </tableColumn>
    <tableColumn id="4" xr3:uid="{BD118B91-5694-441E-8CAB-6E8274E66E8D}" name="Region" dataDxfId="0">
      <calculatedColumnFormula>_xlfn.XLOOKUP(B2,Sales_Data!$D$2:$D$101,Sales_Data!$M$2:$M$101)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"/>
  <sheetViews>
    <sheetView showGridLines="0" tabSelected="1" zoomScale="68" zoomScaleNormal="68" workbookViewId="0">
      <selection activeCell="M115" sqref="M115"/>
    </sheetView>
  </sheetViews>
  <sheetFormatPr defaultRowHeight="14.5" x14ac:dyDescent="0.35"/>
  <cols>
    <col min="1" max="1" width="16.453125" customWidth="1"/>
    <col min="2" max="2" width="15.81640625" bestFit="1" customWidth="1"/>
    <col min="3" max="3" width="15.6328125" customWidth="1"/>
    <col min="4" max="4" width="18.26953125" bestFit="1" customWidth="1"/>
    <col min="5" max="5" width="20.1796875" customWidth="1"/>
    <col min="6" max="6" width="22.36328125" bestFit="1" customWidth="1"/>
    <col min="7" max="7" width="19.7265625" bestFit="1" customWidth="1"/>
    <col min="8" max="8" width="14.1796875" bestFit="1" customWidth="1"/>
    <col min="9" max="9" width="23.1796875" customWidth="1"/>
    <col min="10" max="10" width="16.36328125" bestFit="1" customWidth="1"/>
    <col min="11" max="11" width="19.6328125" bestFit="1" customWidth="1"/>
    <col min="12" max="12" width="14.7265625" customWidth="1"/>
    <col min="13" max="13" width="12.6328125" bestFit="1" customWidth="1"/>
    <col min="15" max="15" width="15.08984375" customWidth="1"/>
    <col min="16" max="17" width="8.7265625" customWidth="1"/>
  </cols>
  <sheetData>
    <row r="1" spans="1:13" x14ac:dyDescent="0.35">
      <c r="A1" s="8" t="s">
        <v>0</v>
      </c>
      <c r="B1" s="8" t="s">
        <v>129</v>
      </c>
      <c r="C1" s="8" t="s">
        <v>227</v>
      </c>
      <c r="D1" s="8" t="s">
        <v>228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230</v>
      </c>
      <c r="M1" s="8" t="s">
        <v>232</v>
      </c>
    </row>
    <row r="2" spans="1:13" x14ac:dyDescent="0.35">
      <c r="A2" s="9" t="s">
        <v>122</v>
      </c>
      <c r="B2" s="9" t="s">
        <v>130</v>
      </c>
      <c r="C2" s="9" t="s">
        <v>131</v>
      </c>
      <c r="D2" s="10" t="str">
        <f>CONCATENATE(Sales_Data!$B2," ",Sales_Data!$C2)</f>
        <v>Olatoke Olorunleke</v>
      </c>
      <c r="E2" s="10" t="s">
        <v>26</v>
      </c>
      <c r="F2" s="10" t="s">
        <v>38</v>
      </c>
      <c r="G2" s="9" t="s">
        <v>46</v>
      </c>
      <c r="H2" s="12">
        <v>2</v>
      </c>
      <c r="I2" s="13">
        <v>12000</v>
      </c>
      <c r="J2" s="13">
        <v>24000</v>
      </c>
      <c r="K2" s="14">
        <v>45997</v>
      </c>
      <c r="L2" s="10">
        <f>YEAR(K2)</f>
        <v>2025</v>
      </c>
      <c r="M2" s="9" t="s">
        <v>18</v>
      </c>
    </row>
    <row r="3" spans="1:13" x14ac:dyDescent="0.35">
      <c r="A3" s="11" t="s">
        <v>14</v>
      </c>
      <c r="B3" s="11" t="s">
        <v>132</v>
      </c>
      <c r="C3" s="11" t="s">
        <v>133</v>
      </c>
      <c r="D3" s="15" t="str">
        <f>CONCATENATE(Sales_Data!$B3," ",Sales_Data!$C3)</f>
        <v>Adekunle George</v>
      </c>
      <c r="E3" s="15" t="s">
        <v>10</v>
      </c>
      <c r="F3" s="11" t="s">
        <v>15</v>
      </c>
      <c r="G3" s="11" t="s">
        <v>16</v>
      </c>
      <c r="H3" s="16">
        <v>1</v>
      </c>
      <c r="I3" s="17">
        <v>200000</v>
      </c>
      <c r="J3" s="17">
        <v>200000</v>
      </c>
      <c r="K3" s="18">
        <v>45334</v>
      </c>
      <c r="L3" s="10">
        <f t="shared" ref="L3:L66" si="0">YEAR(K3)</f>
        <v>2024</v>
      </c>
      <c r="M3" s="11" t="s">
        <v>13</v>
      </c>
    </row>
    <row r="4" spans="1:13" x14ac:dyDescent="0.35">
      <c r="A4" s="9" t="s">
        <v>44</v>
      </c>
      <c r="B4" s="9" t="s">
        <v>132</v>
      </c>
      <c r="C4" s="9" t="s">
        <v>134</v>
      </c>
      <c r="D4" s="10" t="str">
        <f>CONCATENATE(Sales_Data!$B4," ",Sales_Data!$C4)</f>
        <v>Adekunle Ike</v>
      </c>
      <c r="E4" s="10" t="s">
        <v>10</v>
      </c>
      <c r="F4" s="9" t="s">
        <v>11</v>
      </c>
      <c r="G4" s="9" t="s">
        <v>28</v>
      </c>
      <c r="H4" s="12">
        <v>8</v>
      </c>
      <c r="I4" s="13">
        <v>30000</v>
      </c>
      <c r="J4" s="13">
        <v>240000</v>
      </c>
      <c r="K4" s="14">
        <v>45900</v>
      </c>
      <c r="L4" s="10">
        <f t="shared" si="0"/>
        <v>2025</v>
      </c>
      <c r="M4" s="9" t="s">
        <v>18</v>
      </c>
    </row>
    <row r="5" spans="1:13" x14ac:dyDescent="0.35">
      <c r="A5" s="11" t="s">
        <v>19</v>
      </c>
      <c r="B5" s="11" t="s">
        <v>135</v>
      </c>
      <c r="C5" s="11" t="s">
        <v>136</v>
      </c>
      <c r="D5" s="15" t="str">
        <f>CONCATENATE(Sales_Data!$B5," ",Sales_Data!$C5)</f>
        <v>Linda Adams</v>
      </c>
      <c r="E5" s="15" t="s">
        <v>26</v>
      </c>
      <c r="F5" s="11" t="s">
        <v>20</v>
      </c>
      <c r="G5" s="11" t="s">
        <v>21</v>
      </c>
      <c r="H5" s="16">
        <v>3</v>
      </c>
      <c r="I5" s="17">
        <v>1200</v>
      </c>
      <c r="J5" s="17">
        <v>3600</v>
      </c>
      <c r="K5" s="18">
        <v>45705</v>
      </c>
      <c r="L5" s="10">
        <f t="shared" si="0"/>
        <v>2025</v>
      </c>
      <c r="M5" s="11" t="s">
        <v>13</v>
      </c>
    </row>
    <row r="6" spans="1:13" x14ac:dyDescent="0.35">
      <c r="A6" s="9" t="s">
        <v>128</v>
      </c>
      <c r="B6" s="9" t="s">
        <v>137</v>
      </c>
      <c r="C6" s="9" t="s">
        <v>138</v>
      </c>
      <c r="D6" s="10" t="str">
        <f>CONCATENATE(Sales_Data!$B6," ",Sales_Data!$C6)</f>
        <v>Faith Salami</v>
      </c>
      <c r="E6" s="10" t="s">
        <v>26</v>
      </c>
      <c r="F6" s="9" t="s">
        <v>11</v>
      </c>
      <c r="G6" s="9" t="s">
        <v>12</v>
      </c>
      <c r="H6" s="12">
        <v>5</v>
      </c>
      <c r="I6" s="13">
        <v>250000</v>
      </c>
      <c r="J6" s="13">
        <v>1250000</v>
      </c>
      <c r="K6" s="14">
        <v>45181</v>
      </c>
      <c r="L6" s="10">
        <f t="shared" si="0"/>
        <v>2023</v>
      </c>
      <c r="M6" s="9" t="s">
        <v>24</v>
      </c>
    </row>
    <row r="7" spans="1:13" x14ac:dyDescent="0.35">
      <c r="A7" s="11" t="s">
        <v>25</v>
      </c>
      <c r="B7" s="11" t="s">
        <v>139</v>
      </c>
      <c r="C7" s="11" t="s">
        <v>140</v>
      </c>
      <c r="D7" s="15" t="str">
        <f>CONCATENATE(Sales_Data!$B7," ",Sales_Data!$C7)</f>
        <v>Yusuf Taiwo</v>
      </c>
      <c r="E7" s="15" t="s">
        <v>10</v>
      </c>
      <c r="F7" s="11" t="s">
        <v>15</v>
      </c>
      <c r="G7" s="11" t="s">
        <v>16</v>
      </c>
      <c r="H7" s="16">
        <v>9</v>
      </c>
      <c r="I7" s="17">
        <v>200000</v>
      </c>
      <c r="J7" s="17">
        <v>1800000</v>
      </c>
      <c r="K7" s="18">
        <v>45069</v>
      </c>
      <c r="L7" s="10">
        <f t="shared" si="0"/>
        <v>2023</v>
      </c>
      <c r="M7" s="11" t="s">
        <v>18</v>
      </c>
    </row>
    <row r="8" spans="1:13" x14ac:dyDescent="0.35">
      <c r="A8" s="9" t="s">
        <v>99</v>
      </c>
      <c r="B8" s="9" t="s">
        <v>141</v>
      </c>
      <c r="C8" s="9" t="s">
        <v>142</v>
      </c>
      <c r="D8" s="10" t="str">
        <f>CONCATENATE(Sales_Data!$B8," ",Sales_Data!$C8)</f>
        <v>Fatima Balogun</v>
      </c>
      <c r="E8" s="10" t="s">
        <v>26</v>
      </c>
      <c r="F8" s="9" t="s">
        <v>11</v>
      </c>
      <c r="G8" s="9" t="s">
        <v>28</v>
      </c>
      <c r="H8" s="12">
        <v>7</v>
      </c>
      <c r="I8" s="13">
        <v>30000</v>
      </c>
      <c r="J8" s="13">
        <v>210000</v>
      </c>
      <c r="K8" s="14">
        <v>45459</v>
      </c>
      <c r="L8" s="10">
        <f t="shared" si="0"/>
        <v>2024</v>
      </c>
      <c r="M8" s="9" t="s">
        <v>13</v>
      </c>
    </row>
    <row r="9" spans="1:13" x14ac:dyDescent="0.35">
      <c r="A9" s="11" t="s">
        <v>29</v>
      </c>
      <c r="B9" s="11" t="s">
        <v>143</v>
      </c>
      <c r="C9" s="11" t="s">
        <v>144</v>
      </c>
      <c r="D9" s="15" t="str">
        <f>CONCATENATE(Sales_Data!$B9," ",Sales_Data!$C9)</f>
        <v>David Ibrahim</v>
      </c>
      <c r="E9" s="15" t="s">
        <v>10</v>
      </c>
      <c r="F9" s="11" t="s">
        <v>20</v>
      </c>
      <c r="G9" s="11" t="s">
        <v>21</v>
      </c>
      <c r="H9" s="16">
        <v>6</v>
      </c>
      <c r="I9" s="17">
        <v>1200</v>
      </c>
      <c r="J9" s="17">
        <v>7200</v>
      </c>
      <c r="K9" s="18">
        <v>45473</v>
      </c>
      <c r="L9" s="10">
        <f t="shared" si="0"/>
        <v>2024</v>
      </c>
      <c r="M9" s="11" t="s">
        <v>18</v>
      </c>
    </row>
    <row r="10" spans="1:13" x14ac:dyDescent="0.35">
      <c r="A10" s="9" t="s">
        <v>30</v>
      </c>
      <c r="B10" s="9" t="s">
        <v>145</v>
      </c>
      <c r="C10" s="9" t="s">
        <v>146</v>
      </c>
      <c r="D10" s="10" t="str">
        <f>CONCATENATE(Sales_Data!$B10," ",Sales_Data!$C10)</f>
        <v>Emeka Obi</v>
      </c>
      <c r="E10" s="10" t="s">
        <v>10</v>
      </c>
      <c r="F10" s="9" t="s">
        <v>11</v>
      </c>
      <c r="G10" s="9" t="s">
        <v>28</v>
      </c>
      <c r="H10" s="12">
        <v>3</v>
      </c>
      <c r="I10" s="13">
        <v>30000</v>
      </c>
      <c r="J10" s="13">
        <v>90000</v>
      </c>
      <c r="K10" s="14">
        <v>45704</v>
      </c>
      <c r="L10" s="10">
        <f t="shared" si="0"/>
        <v>2025</v>
      </c>
      <c r="M10" s="9" t="s">
        <v>24</v>
      </c>
    </row>
    <row r="11" spans="1:13" x14ac:dyDescent="0.35">
      <c r="A11" s="11" t="s">
        <v>31</v>
      </c>
      <c r="B11" s="11" t="s">
        <v>147</v>
      </c>
      <c r="C11" s="11" t="s">
        <v>146</v>
      </c>
      <c r="D11" s="15" t="str">
        <f>CONCATENATE(Sales_Data!$B11," ",Sales_Data!$C11)</f>
        <v>Mary Obi</v>
      </c>
      <c r="E11" s="15" t="s">
        <v>10</v>
      </c>
      <c r="F11" s="11" t="s">
        <v>20</v>
      </c>
      <c r="G11" s="11" t="s">
        <v>32</v>
      </c>
      <c r="H11" s="16">
        <v>6</v>
      </c>
      <c r="I11" s="17">
        <v>15000</v>
      </c>
      <c r="J11" s="17">
        <v>90000</v>
      </c>
      <c r="K11" s="18">
        <v>45748</v>
      </c>
      <c r="L11" s="10">
        <f t="shared" si="0"/>
        <v>2025</v>
      </c>
      <c r="M11" s="11" t="s">
        <v>33</v>
      </c>
    </row>
    <row r="12" spans="1:13" x14ac:dyDescent="0.35">
      <c r="A12" s="9" t="s">
        <v>34</v>
      </c>
      <c r="B12" s="9" t="s">
        <v>148</v>
      </c>
      <c r="C12" s="9" t="s">
        <v>136</v>
      </c>
      <c r="D12" s="10" t="str">
        <f>CONCATENATE(Sales_Data!$B12," ",Sales_Data!$C12)</f>
        <v>Seun Adams</v>
      </c>
      <c r="E12" s="10" t="s">
        <v>10</v>
      </c>
      <c r="F12" s="9" t="s">
        <v>20</v>
      </c>
      <c r="G12" s="9" t="s">
        <v>32</v>
      </c>
      <c r="H12" s="12">
        <v>4</v>
      </c>
      <c r="I12" s="13">
        <v>15000</v>
      </c>
      <c r="J12" s="13">
        <v>60000</v>
      </c>
      <c r="K12" s="14">
        <v>45737</v>
      </c>
      <c r="L12" s="10">
        <f t="shared" si="0"/>
        <v>2025</v>
      </c>
      <c r="M12" s="9" t="s">
        <v>24</v>
      </c>
    </row>
    <row r="13" spans="1:13" x14ac:dyDescent="0.35">
      <c r="A13" s="11" t="s">
        <v>115</v>
      </c>
      <c r="B13" s="11" t="s">
        <v>149</v>
      </c>
      <c r="C13" s="11" t="s">
        <v>132</v>
      </c>
      <c r="D13" s="15" t="str">
        <f>CONCATENATE(Sales_Data!$B13," ",Sales_Data!$C13)</f>
        <v>Grace Adekunle</v>
      </c>
      <c r="E13" s="15" t="s">
        <v>26</v>
      </c>
      <c r="F13" s="11" t="s">
        <v>20</v>
      </c>
      <c r="G13" s="11" t="s">
        <v>21</v>
      </c>
      <c r="H13" s="16">
        <v>9</v>
      </c>
      <c r="I13" s="17">
        <v>1200</v>
      </c>
      <c r="J13" s="17">
        <v>10800</v>
      </c>
      <c r="K13" s="18">
        <v>45554</v>
      </c>
      <c r="L13" s="10">
        <f t="shared" si="0"/>
        <v>2024</v>
      </c>
      <c r="M13" s="11" t="s">
        <v>33</v>
      </c>
    </row>
    <row r="14" spans="1:13" x14ac:dyDescent="0.35">
      <c r="A14" s="9" t="s">
        <v>17</v>
      </c>
      <c r="B14" s="9" t="s">
        <v>150</v>
      </c>
      <c r="C14" s="9" t="s">
        <v>151</v>
      </c>
      <c r="D14" s="10" t="str">
        <f>CONCATENATE(Sales_Data!$B14," ",Sales_Data!$C14)</f>
        <v>Funke Eze</v>
      </c>
      <c r="E14" s="10" t="s">
        <v>26</v>
      </c>
      <c r="F14" s="9" t="s">
        <v>15</v>
      </c>
      <c r="G14" s="9" t="s">
        <v>16</v>
      </c>
      <c r="H14" s="12">
        <v>8</v>
      </c>
      <c r="I14" s="13">
        <v>200000</v>
      </c>
      <c r="J14" s="13">
        <v>1600000</v>
      </c>
      <c r="K14" s="14">
        <v>45792</v>
      </c>
      <c r="L14" s="10">
        <f t="shared" si="0"/>
        <v>2025</v>
      </c>
      <c r="M14" s="9" t="s">
        <v>18</v>
      </c>
    </row>
    <row r="15" spans="1:13" x14ac:dyDescent="0.35">
      <c r="A15" s="11" t="s">
        <v>36</v>
      </c>
      <c r="B15" s="11" t="s">
        <v>152</v>
      </c>
      <c r="C15" s="11" t="s">
        <v>153</v>
      </c>
      <c r="D15" s="15" t="str">
        <f>CONCATENATE(Sales_Data!$B15," ",Sales_Data!$C15)</f>
        <v>Blessing Brown</v>
      </c>
      <c r="E15" s="15" t="s">
        <v>10</v>
      </c>
      <c r="F15" s="11" t="s">
        <v>20</v>
      </c>
      <c r="G15" s="11" t="s">
        <v>32</v>
      </c>
      <c r="H15" s="16">
        <v>3</v>
      </c>
      <c r="I15" s="17">
        <v>15000</v>
      </c>
      <c r="J15" s="17">
        <v>45000</v>
      </c>
      <c r="K15" s="18">
        <v>45151</v>
      </c>
      <c r="L15" s="10">
        <f t="shared" si="0"/>
        <v>2023</v>
      </c>
      <c r="M15" s="11" t="s">
        <v>13</v>
      </c>
    </row>
    <row r="16" spans="1:13" x14ac:dyDescent="0.35">
      <c r="A16" s="9" t="s">
        <v>37</v>
      </c>
      <c r="B16" s="9" t="s">
        <v>154</v>
      </c>
      <c r="C16" s="9" t="s">
        <v>155</v>
      </c>
      <c r="D16" s="10" t="str">
        <f>CONCATENATE(Sales_Data!$B16," ",Sales_Data!$C16)</f>
        <v>Oluwaseun Olawale</v>
      </c>
      <c r="E16" s="10" t="s">
        <v>10</v>
      </c>
      <c r="F16" s="9" t="s">
        <v>38</v>
      </c>
      <c r="G16" s="9" t="s">
        <v>39</v>
      </c>
      <c r="H16" s="12">
        <v>7</v>
      </c>
      <c r="I16" s="13">
        <v>5000</v>
      </c>
      <c r="J16" s="13">
        <v>35000</v>
      </c>
      <c r="K16" s="14">
        <v>45885</v>
      </c>
      <c r="L16" s="10">
        <f t="shared" si="0"/>
        <v>2025</v>
      </c>
      <c r="M16" s="9" t="s">
        <v>24</v>
      </c>
    </row>
    <row r="17" spans="1:13" x14ac:dyDescent="0.35">
      <c r="A17" s="11" t="s">
        <v>73</v>
      </c>
      <c r="B17" s="11" t="s">
        <v>156</v>
      </c>
      <c r="C17" s="11" t="s">
        <v>146</v>
      </c>
      <c r="D17" s="15" t="str">
        <f>CONCATENATE(Sales_Data!$B17," ",Sales_Data!$C17)</f>
        <v>Ferdinand Obi</v>
      </c>
      <c r="E17" s="15" t="s">
        <v>10</v>
      </c>
      <c r="F17" s="11" t="s">
        <v>20</v>
      </c>
      <c r="G17" s="11" t="s">
        <v>21</v>
      </c>
      <c r="H17" s="16">
        <v>10</v>
      </c>
      <c r="I17" s="17">
        <v>1200</v>
      </c>
      <c r="J17" s="17">
        <v>12000</v>
      </c>
      <c r="K17" s="18">
        <v>45771</v>
      </c>
      <c r="L17" s="10">
        <f t="shared" si="0"/>
        <v>2025</v>
      </c>
      <c r="M17" s="11" t="s">
        <v>18</v>
      </c>
    </row>
    <row r="18" spans="1:13" x14ac:dyDescent="0.35">
      <c r="A18" s="9" t="s">
        <v>41</v>
      </c>
      <c r="B18" s="9" t="s">
        <v>157</v>
      </c>
      <c r="C18" s="9" t="s">
        <v>151</v>
      </c>
      <c r="D18" s="10" t="str">
        <f>CONCATENATE(Sales_Data!$B18," ",Sales_Data!$C18)</f>
        <v>John Eze</v>
      </c>
      <c r="E18" s="10" t="s">
        <v>10</v>
      </c>
      <c r="F18" s="9" t="s">
        <v>15</v>
      </c>
      <c r="G18" s="9" t="s">
        <v>16</v>
      </c>
      <c r="H18" s="12">
        <v>8</v>
      </c>
      <c r="I18" s="13">
        <v>200000</v>
      </c>
      <c r="J18" s="13">
        <v>1600000</v>
      </c>
      <c r="K18" s="14">
        <v>45538</v>
      </c>
      <c r="L18" s="10">
        <f t="shared" si="0"/>
        <v>2024</v>
      </c>
      <c r="M18" s="9" t="s">
        <v>13</v>
      </c>
    </row>
    <row r="19" spans="1:13" x14ac:dyDescent="0.35">
      <c r="A19" s="11" t="s">
        <v>42</v>
      </c>
      <c r="B19" s="11" t="s">
        <v>143</v>
      </c>
      <c r="C19" s="11" t="s">
        <v>134</v>
      </c>
      <c r="D19" s="15" t="str">
        <f>CONCATENATE(Sales_Data!$B19," ",Sales_Data!$C19)</f>
        <v>David Ike</v>
      </c>
      <c r="E19" s="15" t="s">
        <v>10</v>
      </c>
      <c r="F19" s="11" t="s">
        <v>38</v>
      </c>
      <c r="G19" s="11" t="s">
        <v>39</v>
      </c>
      <c r="H19" s="16">
        <v>6</v>
      </c>
      <c r="I19" s="17">
        <v>5000</v>
      </c>
      <c r="J19" s="17">
        <v>30000</v>
      </c>
      <c r="K19" s="18">
        <v>45927</v>
      </c>
      <c r="L19" s="10">
        <f t="shared" si="0"/>
        <v>2025</v>
      </c>
      <c r="M19" s="11" t="s">
        <v>33</v>
      </c>
    </row>
    <row r="20" spans="1:13" x14ac:dyDescent="0.35">
      <c r="A20" s="9" t="s">
        <v>124</v>
      </c>
      <c r="B20" s="9" t="s">
        <v>155</v>
      </c>
      <c r="C20" s="9" t="s">
        <v>158</v>
      </c>
      <c r="D20" s="10" t="str">
        <f>CONCATENATE(Sales_Data!$B20," ",Sales_Data!$C20)</f>
        <v>Olawale Yekini</v>
      </c>
      <c r="E20" s="10" t="s">
        <v>10</v>
      </c>
      <c r="F20" s="9" t="s">
        <v>11</v>
      </c>
      <c r="G20" s="9" t="s">
        <v>12</v>
      </c>
      <c r="H20" s="12">
        <v>4</v>
      </c>
      <c r="I20" s="13">
        <v>250000</v>
      </c>
      <c r="J20" s="13">
        <v>1000000</v>
      </c>
      <c r="K20" s="14">
        <v>45282</v>
      </c>
      <c r="L20" s="10">
        <f t="shared" si="0"/>
        <v>2023</v>
      </c>
      <c r="M20" s="9" t="s">
        <v>18</v>
      </c>
    </row>
    <row r="21" spans="1:13" x14ac:dyDescent="0.35">
      <c r="A21" s="11" t="s">
        <v>60</v>
      </c>
      <c r="B21" s="11" t="s">
        <v>147</v>
      </c>
      <c r="C21" s="11" t="s">
        <v>136</v>
      </c>
      <c r="D21" s="15" t="str">
        <f>CONCATENATE(Sales_Data!$B21," ",Sales_Data!$C21)</f>
        <v>Mary Adams</v>
      </c>
      <c r="E21" s="15" t="s">
        <v>26</v>
      </c>
      <c r="F21" s="11" t="s">
        <v>11</v>
      </c>
      <c r="G21" s="11" t="s">
        <v>28</v>
      </c>
      <c r="H21" s="16">
        <v>9</v>
      </c>
      <c r="I21" s="17">
        <v>30000</v>
      </c>
      <c r="J21" s="17">
        <v>270000</v>
      </c>
      <c r="K21" s="18">
        <v>45903</v>
      </c>
      <c r="L21" s="10">
        <f t="shared" si="0"/>
        <v>2025</v>
      </c>
      <c r="M21" s="11" t="s">
        <v>13</v>
      </c>
    </row>
    <row r="22" spans="1:13" x14ac:dyDescent="0.35">
      <c r="A22" s="9" t="s">
        <v>45</v>
      </c>
      <c r="B22" s="9" t="s">
        <v>154</v>
      </c>
      <c r="C22" s="9" t="s">
        <v>159</v>
      </c>
      <c r="D22" s="10" t="str">
        <f>CONCATENATE(Sales_Data!$B22," ",Sales_Data!$C22)</f>
        <v>Oluwaseun Okafor</v>
      </c>
      <c r="E22" s="10" t="s">
        <v>10</v>
      </c>
      <c r="F22" s="9" t="s">
        <v>38</v>
      </c>
      <c r="G22" s="9" t="s">
        <v>46</v>
      </c>
      <c r="H22" s="12">
        <v>9</v>
      </c>
      <c r="I22" s="13">
        <v>12000</v>
      </c>
      <c r="J22" s="13">
        <v>108000</v>
      </c>
      <c r="K22" s="14">
        <v>45565</v>
      </c>
      <c r="L22" s="10">
        <f t="shared" si="0"/>
        <v>2024</v>
      </c>
      <c r="M22" s="9" t="s">
        <v>18</v>
      </c>
    </row>
    <row r="23" spans="1:13" x14ac:dyDescent="0.35">
      <c r="A23" s="11" t="s">
        <v>106</v>
      </c>
      <c r="B23" s="11" t="s">
        <v>154</v>
      </c>
      <c r="C23" s="11" t="s">
        <v>160</v>
      </c>
      <c r="D23" s="15" t="str">
        <f>CONCATENATE(Sales_Data!$B23," ",Sales_Data!$C23)</f>
        <v>Oluwaseun Nwosu</v>
      </c>
      <c r="E23" s="15" t="s">
        <v>10</v>
      </c>
      <c r="F23" s="11" t="s">
        <v>11</v>
      </c>
      <c r="G23" s="11" t="s">
        <v>28</v>
      </c>
      <c r="H23" s="16">
        <v>5</v>
      </c>
      <c r="I23" s="17">
        <v>30000</v>
      </c>
      <c r="J23" s="17">
        <v>150000</v>
      </c>
      <c r="K23" s="18">
        <v>46018</v>
      </c>
      <c r="L23" s="10">
        <f t="shared" si="0"/>
        <v>2025</v>
      </c>
      <c r="M23" s="11" t="s">
        <v>33</v>
      </c>
    </row>
    <row r="24" spans="1:13" x14ac:dyDescent="0.35">
      <c r="A24" s="9" t="s">
        <v>49</v>
      </c>
      <c r="B24" s="9" t="s">
        <v>157</v>
      </c>
      <c r="C24" s="9" t="s">
        <v>161</v>
      </c>
      <c r="D24" s="10" t="str">
        <f>CONCATENATE(Sales_Data!$B24," ",Sales_Data!$C24)</f>
        <v>John Mohammed</v>
      </c>
      <c r="E24" s="10" t="s">
        <v>10</v>
      </c>
      <c r="F24" s="9" t="s">
        <v>38</v>
      </c>
      <c r="G24" s="9" t="s">
        <v>39</v>
      </c>
      <c r="H24" s="12">
        <v>6</v>
      </c>
      <c r="I24" s="13">
        <v>5000</v>
      </c>
      <c r="J24" s="13">
        <v>30000</v>
      </c>
      <c r="K24" s="14">
        <v>44941</v>
      </c>
      <c r="L24" s="10">
        <f t="shared" si="0"/>
        <v>2023</v>
      </c>
      <c r="M24" s="9" t="s">
        <v>18</v>
      </c>
    </row>
    <row r="25" spans="1:13" x14ac:dyDescent="0.35">
      <c r="A25" s="11" t="s">
        <v>50</v>
      </c>
      <c r="B25" s="11" t="s">
        <v>162</v>
      </c>
      <c r="C25" s="11" t="s">
        <v>155</v>
      </c>
      <c r="D25" s="15" t="str">
        <f>CONCATENATE(Sales_Data!$B25," ",Sales_Data!$C25)</f>
        <v>Peter Olawale</v>
      </c>
      <c r="E25" s="15" t="s">
        <v>10</v>
      </c>
      <c r="F25" s="11" t="s">
        <v>11</v>
      </c>
      <c r="G25" s="11" t="s">
        <v>28</v>
      </c>
      <c r="H25" s="16">
        <v>1</v>
      </c>
      <c r="I25" s="17">
        <v>30000</v>
      </c>
      <c r="J25" s="17">
        <v>30000</v>
      </c>
      <c r="K25" s="18">
        <v>45072</v>
      </c>
      <c r="L25" s="10">
        <f t="shared" si="0"/>
        <v>2023</v>
      </c>
      <c r="M25" s="11" t="s">
        <v>33</v>
      </c>
    </row>
    <row r="26" spans="1:13" x14ac:dyDescent="0.35">
      <c r="A26" s="9" t="s">
        <v>51</v>
      </c>
      <c r="B26" s="9" t="s">
        <v>135</v>
      </c>
      <c r="C26" s="9" t="s">
        <v>134</v>
      </c>
      <c r="D26" s="10" t="str">
        <f>CONCATENATE(Sales_Data!$B26," ",Sales_Data!$C26)</f>
        <v>Linda Ike</v>
      </c>
      <c r="E26" s="10" t="s">
        <v>26</v>
      </c>
      <c r="F26" s="9" t="s">
        <v>38</v>
      </c>
      <c r="G26" s="9" t="s">
        <v>46</v>
      </c>
      <c r="H26" s="12">
        <v>8</v>
      </c>
      <c r="I26" s="13">
        <v>12000</v>
      </c>
      <c r="J26" s="13">
        <v>96000</v>
      </c>
      <c r="K26" s="14">
        <v>45424</v>
      </c>
      <c r="L26" s="10">
        <f t="shared" si="0"/>
        <v>2024</v>
      </c>
      <c r="M26" s="9" t="s">
        <v>24</v>
      </c>
    </row>
    <row r="27" spans="1:13" x14ac:dyDescent="0.35">
      <c r="A27" s="11" t="s">
        <v>52</v>
      </c>
      <c r="B27" s="11" t="s">
        <v>163</v>
      </c>
      <c r="C27" s="11" t="s">
        <v>160</v>
      </c>
      <c r="D27" s="15" t="str">
        <f>CONCATENATE(Sales_Data!$B27," ",Sales_Data!$C27)</f>
        <v>Chika Nwosu</v>
      </c>
      <c r="E27" s="15" t="s">
        <v>26</v>
      </c>
      <c r="F27" s="11" t="s">
        <v>15</v>
      </c>
      <c r="G27" s="11" t="s">
        <v>53</v>
      </c>
      <c r="H27" s="16">
        <v>4</v>
      </c>
      <c r="I27" s="17">
        <v>60000</v>
      </c>
      <c r="J27" s="17">
        <v>240000</v>
      </c>
      <c r="K27" s="18">
        <v>45794</v>
      </c>
      <c r="L27" s="10">
        <f t="shared" si="0"/>
        <v>2025</v>
      </c>
      <c r="M27" s="11" t="s">
        <v>33</v>
      </c>
    </row>
    <row r="28" spans="1:13" x14ac:dyDescent="0.35">
      <c r="A28" s="9" t="s">
        <v>54</v>
      </c>
      <c r="B28" s="9" t="s">
        <v>164</v>
      </c>
      <c r="C28" s="9" t="s">
        <v>165</v>
      </c>
      <c r="D28" s="10" t="str">
        <f>CONCATENATE(Sales_Data!$B28," ",Sales_Data!$C28)</f>
        <v>Chioma Smith</v>
      </c>
      <c r="E28" s="10" t="s">
        <v>26</v>
      </c>
      <c r="F28" s="9" t="s">
        <v>15</v>
      </c>
      <c r="G28" s="9" t="s">
        <v>53</v>
      </c>
      <c r="H28" s="12">
        <v>1</v>
      </c>
      <c r="I28" s="13">
        <v>60000</v>
      </c>
      <c r="J28" s="13">
        <v>60000</v>
      </c>
      <c r="K28" s="14">
        <v>45150</v>
      </c>
      <c r="L28" s="10">
        <f t="shared" si="0"/>
        <v>2023</v>
      </c>
      <c r="M28" s="9" t="s">
        <v>33</v>
      </c>
    </row>
    <row r="29" spans="1:13" x14ac:dyDescent="0.35">
      <c r="A29" s="11" t="s">
        <v>55</v>
      </c>
      <c r="B29" s="11" t="s">
        <v>145</v>
      </c>
      <c r="C29" s="11" t="s">
        <v>142</v>
      </c>
      <c r="D29" s="15" t="str">
        <f>CONCATENATE(Sales_Data!$B29," ",Sales_Data!$C29)</f>
        <v>Emeka Balogun</v>
      </c>
      <c r="E29" s="15" t="s">
        <v>10</v>
      </c>
      <c r="F29" s="11" t="s">
        <v>38</v>
      </c>
      <c r="G29" s="11" t="s">
        <v>39</v>
      </c>
      <c r="H29" s="16">
        <v>4</v>
      </c>
      <c r="I29" s="17">
        <v>5000</v>
      </c>
      <c r="J29" s="17">
        <v>20000</v>
      </c>
      <c r="K29" s="18">
        <v>45302</v>
      </c>
      <c r="L29" s="10">
        <f t="shared" si="0"/>
        <v>2024</v>
      </c>
      <c r="M29" s="11" t="s">
        <v>24</v>
      </c>
    </row>
    <row r="30" spans="1:13" x14ac:dyDescent="0.35">
      <c r="A30" s="9" t="s">
        <v>102</v>
      </c>
      <c r="B30" s="9" t="s">
        <v>166</v>
      </c>
      <c r="C30" s="9" t="s">
        <v>167</v>
      </c>
      <c r="D30" s="10" t="str">
        <f>CONCATENATE(Sales_Data!$B30," ",Sales_Data!$C30)</f>
        <v>Damilola Ademola</v>
      </c>
      <c r="E30" s="10" t="s">
        <v>10</v>
      </c>
      <c r="F30" s="9" t="s">
        <v>11</v>
      </c>
      <c r="G30" s="9" t="s">
        <v>28</v>
      </c>
      <c r="H30" s="12">
        <v>1</v>
      </c>
      <c r="I30" s="13">
        <v>30000</v>
      </c>
      <c r="J30" s="13">
        <v>30000</v>
      </c>
      <c r="K30" s="14">
        <v>45239</v>
      </c>
      <c r="L30" s="10">
        <f t="shared" si="0"/>
        <v>2023</v>
      </c>
      <c r="M30" s="9" t="s">
        <v>13</v>
      </c>
    </row>
    <row r="31" spans="1:13" x14ac:dyDescent="0.35">
      <c r="A31" s="11" t="s">
        <v>57</v>
      </c>
      <c r="B31" s="11" t="s">
        <v>168</v>
      </c>
      <c r="C31" s="11" t="s">
        <v>153</v>
      </c>
      <c r="D31" s="15" t="str">
        <f>CONCATENATE(Sales_Data!$B31," ",Sales_Data!$C31)</f>
        <v>Sarah Brown</v>
      </c>
      <c r="E31" s="15" t="s">
        <v>26</v>
      </c>
      <c r="F31" s="11" t="s">
        <v>11</v>
      </c>
      <c r="G31" s="11" t="s">
        <v>12</v>
      </c>
      <c r="H31" s="16">
        <v>3</v>
      </c>
      <c r="I31" s="17">
        <v>250000</v>
      </c>
      <c r="J31" s="17">
        <v>750000</v>
      </c>
      <c r="K31" s="18">
        <v>45748</v>
      </c>
      <c r="L31" s="10">
        <f t="shared" si="0"/>
        <v>2025</v>
      </c>
      <c r="M31" s="11" t="s">
        <v>18</v>
      </c>
    </row>
    <row r="32" spans="1:13" x14ac:dyDescent="0.35">
      <c r="A32" s="9" t="s">
        <v>58</v>
      </c>
      <c r="B32" s="9" t="s">
        <v>169</v>
      </c>
      <c r="C32" s="9" t="s">
        <v>170</v>
      </c>
      <c r="D32" s="10" t="str">
        <f>CONCATENATE(Sales_Data!$B32," ",Sales_Data!$C32)</f>
        <v>Tope Johnson</v>
      </c>
      <c r="E32" s="10" t="s">
        <v>26</v>
      </c>
      <c r="F32" s="9" t="s">
        <v>11</v>
      </c>
      <c r="G32" s="9" t="s">
        <v>12</v>
      </c>
      <c r="H32" s="12">
        <v>7</v>
      </c>
      <c r="I32" s="13">
        <v>250000</v>
      </c>
      <c r="J32" s="13">
        <v>1750000</v>
      </c>
      <c r="K32" s="14">
        <v>45511</v>
      </c>
      <c r="L32" s="10">
        <f t="shared" si="0"/>
        <v>2024</v>
      </c>
      <c r="M32" s="9" t="s">
        <v>24</v>
      </c>
    </row>
    <row r="33" spans="1:13" x14ac:dyDescent="0.35">
      <c r="A33" s="11" t="s">
        <v>59</v>
      </c>
      <c r="B33" s="11" t="s">
        <v>171</v>
      </c>
      <c r="C33" s="11" t="s">
        <v>172</v>
      </c>
      <c r="D33" s="15" t="str">
        <f>CONCATENATE(Sales_Data!$B33," ",Sales_Data!$C33)</f>
        <v>Henry Ahmed</v>
      </c>
      <c r="E33" s="15" t="s">
        <v>10</v>
      </c>
      <c r="F33" s="11" t="s">
        <v>15</v>
      </c>
      <c r="G33" s="11" t="s">
        <v>48</v>
      </c>
      <c r="H33" s="16">
        <v>9</v>
      </c>
      <c r="I33" s="17">
        <v>80000</v>
      </c>
      <c r="J33" s="17">
        <v>720000</v>
      </c>
      <c r="K33" s="18">
        <v>45372</v>
      </c>
      <c r="L33" s="10">
        <f t="shared" si="0"/>
        <v>2024</v>
      </c>
      <c r="M33" s="11" t="s">
        <v>33</v>
      </c>
    </row>
    <row r="34" spans="1:13" x14ac:dyDescent="0.35">
      <c r="A34" s="9" t="s">
        <v>40</v>
      </c>
      <c r="B34" s="9" t="s">
        <v>145</v>
      </c>
      <c r="C34" s="9" t="s">
        <v>151</v>
      </c>
      <c r="D34" s="10" t="str">
        <f>CONCATENATE(Sales_Data!$B34," ",Sales_Data!$C34)</f>
        <v>Emeka Eze</v>
      </c>
      <c r="E34" s="10" t="s">
        <v>10</v>
      </c>
      <c r="F34" s="9" t="s">
        <v>20</v>
      </c>
      <c r="G34" s="9" t="s">
        <v>32</v>
      </c>
      <c r="H34" s="12">
        <v>2</v>
      </c>
      <c r="I34" s="13">
        <v>15000</v>
      </c>
      <c r="J34" s="13">
        <v>30000</v>
      </c>
      <c r="K34" s="14">
        <v>45528</v>
      </c>
      <c r="L34" s="10">
        <f t="shared" si="0"/>
        <v>2024</v>
      </c>
      <c r="M34" s="9" t="s">
        <v>13</v>
      </c>
    </row>
    <row r="35" spans="1:13" x14ac:dyDescent="0.35">
      <c r="A35" s="11" t="s">
        <v>61</v>
      </c>
      <c r="B35" s="11" t="s">
        <v>132</v>
      </c>
      <c r="C35" s="11" t="s">
        <v>173</v>
      </c>
      <c r="D35" s="15" t="str">
        <f>CONCATENATE(Sales_Data!$B35," ",Sales_Data!$C35)</f>
        <v>Adekunle Ojo</v>
      </c>
      <c r="E35" s="15" t="s">
        <v>10</v>
      </c>
      <c r="F35" s="11" t="s">
        <v>38</v>
      </c>
      <c r="G35" s="11" t="s">
        <v>39</v>
      </c>
      <c r="H35" s="16">
        <v>9</v>
      </c>
      <c r="I35" s="17">
        <v>5000</v>
      </c>
      <c r="J35" s="17">
        <v>45000</v>
      </c>
      <c r="K35" s="18">
        <v>45408</v>
      </c>
      <c r="L35" s="10">
        <f t="shared" si="0"/>
        <v>2024</v>
      </c>
      <c r="M35" s="11" t="s">
        <v>13</v>
      </c>
    </row>
    <row r="36" spans="1:13" x14ac:dyDescent="0.35">
      <c r="A36" s="9" t="s">
        <v>62</v>
      </c>
      <c r="B36" s="9" t="s">
        <v>162</v>
      </c>
      <c r="C36" s="9" t="s">
        <v>161</v>
      </c>
      <c r="D36" s="10" t="str">
        <f>CONCATENATE(Sales_Data!$B36," ",Sales_Data!$C36)</f>
        <v>Peter Mohammed</v>
      </c>
      <c r="E36" s="10" t="s">
        <v>10</v>
      </c>
      <c r="F36" s="9" t="s">
        <v>15</v>
      </c>
      <c r="G36" s="9" t="s">
        <v>16</v>
      </c>
      <c r="H36" s="12">
        <v>10</v>
      </c>
      <c r="I36" s="13">
        <v>200000</v>
      </c>
      <c r="J36" s="13">
        <v>2000000</v>
      </c>
      <c r="K36" s="14">
        <v>45785</v>
      </c>
      <c r="L36" s="10">
        <f t="shared" si="0"/>
        <v>2025</v>
      </c>
      <c r="M36" s="9" t="s">
        <v>13</v>
      </c>
    </row>
    <row r="37" spans="1:13" x14ac:dyDescent="0.35">
      <c r="A37" s="11" t="s">
        <v>63</v>
      </c>
      <c r="B37" s="11" t="s">
        <v>149</v>
      </c>
      <c r="C37" s="11" t="s">
        <v>146</v>
      </c>
      <c r="D37" s="15" t="str">
        <f>CONCATENATE(Sales_Data!$B37," ",Sales_Data!$C37)</f>
        <v>Grace Obi</v>
      </c>
      <c r="E37" s="15" t="s">
        <v>26</v>
      </c>
      <c r="F37" s="11" t="s">
        <v>20</v>
      </c>
      <c r="G37" s="11" t="s">
        <v>21</v>
      </c>
      <c r="H37" s="16">
        <v>4</v>
      </c>
      <c r="I37" s="17">
        <v>1200</v>
      </c>
      <c r="J37" s="17">
        <v>4800</v>
      </c>
      <c r="K37" s="18">
        <v>45195</v>
      </c>
      <c r="L37" s="10">
        <f t="shared" si="0"/>
        <v>2023</v>
      </c>
      <c r="M37" s="11" t="s">
        <v>24</v>
      </c>
    </row>
    <row r="38" spans="1:13" x14ac:dyDescent="0.35">
      <c r="A38" s="9" t="s">
        <v>64</v>
      </c>
      <c r="B38" s="9" t="s">
        <v>174</v>
      </c>
      <c r="C38" s="9" t="s">
        <v>175</v>
      </c>
      <c r="D38" s="10" t="str">
        <f>CONCATENATE(Sales_Data!$B38," ",Sales_Data!$C38)</f>
        <v>Adefunke Adeife</v>
      </c>
      <c r="E38" s="10" t="s">
        <v>26</v>
      </c>
      <c r="F38" s="9" t="s">
        <v>20</v>
      </c>
      <c r="G38" s="9" t="s">
        <v>21</v>
      </c>
      <c r="H38" s="12">
        <v>6</v>
      </c>
      <c r="I38" s="13">
        <v>1200</v>
      </c>
      <c r="J38" s="13">
        <v>7200</v>
      </c>
      <c r="K38" s="14">
        <v>45077</v>
      </c>
      <c r="L38" s="10">
        <f t="shared" si="0"/>
        <v>2023</v>
      </c>
      <c r="M38" s="9" t="s">
        <v>13</v>
      </c>
    </row>
    <row r="39" spans="1:13" x14ac:dyDescent="0.35">
      <c r="A39" s="11" t="s">
        <v>110</v>
      </c>
      <c r="B39" s="11" t="s">
        <v>162</v>
      </c>
      <c r="C39" s="11" t="s">
        <v>142</v>
      </c>
      <c r="D39" s="15" t="str">
        <f>CONCATENATE(Sales_Data!$B39," ",Sales_Data!$C39)</f>
        <v>Peter Balogun</v>
      </c>
      <c r="E39" s="15" t="s">
        <v>10</v>
      </c>
      <c r="F39" s="11" t="s">
        <v>11</v>
      </c>
      <c r="G39" s="11" t="s">
        <v>23</v>
      </c>
      <c r="H39" s="16">
        <v>8</v>
      </c>
      <c r="I39" s="17">
        <v>180000</v>
      </c>
      <c r="J39" s="17">
        <v>1440000</v>
      </c>
      <c r="K39" s="18">
        <v>44985</v>
      </c>
      <c r="L39" s="10">
        <f t="shared" si="0"/>
        <v>2023</v>
      </c>
      <c r="M39" s="11" t="s">
        <v>33</v>
      </c>
    </row>
    <row r="40" spans="1:13" x14ac:dyDescent="0.35">
      <c r="A40" s="9" t="s">
        <v>66</v>
      </c>
      <c r="B40" s="9" t="s">
        <v>139</v>
      </c>
      <c r="C40" s="9" t="s">
        <v>140</v>
      </c>
      <c r="D40" s="10" t="str">
        <f>CONCATENATE(Sales_Data!$B40," ",Sales_Data!$C40)</f>
        <v>Yusuf Taiwo</v>
      </c>
      <c r="E40" s="10" t="s">
        <v>10</v>
      </c>
      <c r="F40" s="9" t="s">
        <v>38</v>
      </c>
      <c r="G40" s="9" t="s">
        <v>46</v>
      </c>
      <c r="H40" s="12">
        <v>9</v>
      </c>
      <c r="I40" s="13">
        <v>12000</v>
      </c>
      <c r="J40" s="13">
        <v>108000</v>
      </c>
      <c r="K40" s="14">
        <v>45139</v>
      </c>
      <c r="L40" s="10">
        <f t="shared" si="0"/>
        <v>2023</v>
      </c>
      <c r="M40" s="9" t="s">
        <v>33</v>
      </c>
    </row>
    <row r="41" spans="1:13" x14ac:dyDescent="0.35">
      <c r="A41" s="11" t="s">
        <v>67</v>
      </c>
      <c r="B41" s="11" t="s">
        <v>163</v>
      </c>
      <c r="C41" s="11" t="s">
        <v>134</v>
      </c>
      <c r="D41" s="15" t="str">
        <f>CONCATENATE(Sales_Data!$B41," ",Sales_Data!$C41)</f>
        <v>Chika Ike</v>
      </c>
      <c r="E41" s="15" t="s">
        <v>10</v>
      </c>
      <c r="F41" s="11" t="s">
        <v>38</v>
      </c>
      <c r="G41" s="11" t="s">
        <v>46</v>
      </c>
      <c r="H41" s="16">
        <v>2</v>
      </c>
      <c r="I41" s="17">
        <v>12000</v>
      </c>
      <c r="J41" s="17">
        <v>24000</v>
      </c>
      <c r="K41" s="18">
        <v>45504</v>
      </c>
      <c r="L41" s="10">
        <f t="shared" si="0"/>
        <v>2024</v>
      </c>
      <c r="M41" s="11" t="s">
        <v>33</v>
      </c>
    </row>
    <row r="42" spans="1:13" x14ac:dyDescent="0.35">
      <c r="A42" s="9" t="s">
        <v>68</v>
      </c>
      <c r="B42" s="9" t="s">
        <v>176</v>
      </c>
      <c r="C42" s="9" t="s">
        <v>177</v>
      </c>
      <c r="D42" s="10" t="str">
        <f>CONCATENATE(Sales_Data!$B42," ",Sales_Data!$C42)</f>
        <v>Ngozi Usman</v>
      </c>
      <c r="E42" s="10" t="s">
        <v>26</v>
      </c>
      <c r="F42" s="9" t="s">
        <v>38</v>
      </c>
      <c r="G42" s="9" t="s">
        <v>46</v>
      </c>
      <c r="H42" s="12">
        <v>4</v>
      </c>
      <c r="I42" s="13">
        <v>12000</v>
      </c>
      <c r="J42" s="13">
        <v>48000</v>
      </c>
      <c r="K42" s="14">
        <v>45031</v>
      </c>
      <c r="L42" s="10">
        <f t="shared" si="0"/>
        <v>2023</v>
      </c>
      <c r="M42" s="9" t="s">
        <v>33</v>
      </c>
    </row>
    <row r="43" spans="1:13" x14ac:dyDescent="0.35">
      <c r="A43" s="11" t="s">
        <v>69</v>
      </c>
      <c r="B43" s="11" t="s">
        <v>178</v>
      </c>
      <c r="C43" s="11" t="s">
        <v>165</v>
      </c>
      <c r="D43" s="15" t="str">
        <f>CONCATENATE(Sales_Data!$B43," ",Sales_Data!$C43)</f>
        <v>Joseph Smith</v>
      </c>
      <c r="E43" s="15" t="s">
        <v>10</v>
      </c>
      <c r="F43" s="11" t="s">
        <v>11</v>
      </c>
      <c r="G43" s="11" t="s">
        <v>28</v>
      </c>
      <c r="H43" s="16">
        <v>7</v>
      </c>
      <c r="I43" s="17">
        <v>30000</v>
      </c>
      <c r="J43" s="17">
        <v>210000</v>
      </c>
      <c r="K43" s="18">
        <v>45194</v>
      </c>
      <c r="L43" s="10">
        <f t="shared" si="0"/>
        <v>2023</v>
      </c>
      <c r="M43" s="11" t="s">
        <v>33</v>
      </c>
    </row>
    <row r="44" spans="1:13" x14ac:dyDescent="0.35">
      <c r="A44" s="9" t="s">
        <v>70</v>
      </c>
      <c r="B44" s="9" t="s">
        <v>145</v>
      </c>
      <c r="C44" s="9" t="s">
        <v>159</v>
      </c>
      <c r="D44" s="10" t="str">
        <f>CONCATENATE(Sales_Data!$B44," ",Sales_Data!$C44)</f>
        <v>Emeka Okafor</v>
      </c>
      <c r="E44" s="10" t="s">
        <v>10</v>
      </c>
      <c r="F44" s="9" t="s">
        <v>20</v>
      </c>
      <c r="G44" s="9" t="s">
        <v>32</v>
      </c>
      <c r="H44" s="12">
        <v>8</v>
      </c>
      <c r="I44" s="13">
        <v>15000</v>
      </c>
      <c r="J44" s="13">
        <v>120000</v>
      </c>
      <c r="K44" s="14">
        <v>45081</v>
      </c>
      <c r="L44" s="10">
        <f t="shared" si="0"/>
        <v>2023</v>
      </c>
      <c r="M44" s="9" t="s">
        <v>13</v>
      </c>
    </row>
    <row r="45" spans="1:13" x14ac:dyDescent="0.35">
      <c r="A45" s="11" t="s">
        <v>71</v>
      </c>
      <c r="B45" s="11" t="s">
        <v>145</v>
      </c>
      <c r="C45" s="11" t="s">
        <v>151</v>
      </c>
      <c r="D45" s="15" t="str">
        <f>CONCATENATE(Sales_Data!$B45," ",Sales_Data!$C45)</f>
        <v>Emeka Eze</v>
      </c>
      <c r="E45" s="15" t="s">
        <v>10</v>
      </c>
      <c r="F45" s="11" t="s">
        <v>38</v>
      </c>
      <c r="G45" s="11" t="s">
        <v>39</v>
      </c>
      <c r="H45" s="16">
        <v>6</v>
      </c>
      <c r="I45" s="17">
        <v>5000</v>
      </c>
      <c r="J45" s="17">
        <v>30000</v>
      </c>
      <c r="K45" s="18">
        <v>45188</v>
      </c>
      <c r="L45" s="10">
        <f t="shared" si="0"/>
        <v>2023</v>
      </c>
      <c r="M45" s="11" t="s">
        <v>24</v>
      </c>
    </row>
    <row r="46" spans="1:13" x14ac:dyDescent="0.35">
      <c r="A46" s="9" t="s">
        <v>72</v>
      </c>
      <c r="B46" s="9" t="s">
        <v>144</v>
      </c>
      <c r="C46" s="9" t="s">
        <v>179</v>
      </c>
      <c r="D46" s="10" t="str">
        <f>CONCATENATE(Sales_Data!$B46," ",Sales_Data!$C46)</f>
        <v>Ibrahim Musa</v>
      </c>
      <c r="E46" s="10" t="s">
        <v>10</v>
      </c>
      <c r="F46" s="9" t="s">
        <v>11</v>
      </c>
      <c r="G46" s="9" t="s">
        <v>23</v>
      </c>
      <c r="H46" s="12">
        <v>6</v>
      </c>
      <c r="I46" s="13">
        <v>180000</v>
      </c>
      <c r="J46" s="13">
        <v>1080000</v>
      </c>
      <c r="K46" s="14">
        <v>45137</v>
      </c>
      <c r="L46" s="10">
        <f t="shared" si="0"/>
        <v>2023</v>
      </c>
      <c r="M46" s="9" t="s">
        <v>18</v>
      </c>
    </row>
    <row r="47" spans="1:13" x14ac:dyDescent="0.35">
      <c r="A47" s="11" t="s">
        <v>27</v>
      </c>
      <c r="B47" s="11" t="s">
        <v>139</v>
      </c>
      <c r="C47" s="11" t="s">
        <v>155</v>
      </c>
      <c r="D47" s="15" t="str">
        <f>CONCATENATE(Sales_Data!$B47," ",Sales_Data!$C47)</f>
        <v>Yusuf Olawale</v>
      </c>
      <c r="E47" s="15" t="s">
        <v>10</v>
      </c>
      <c r="F47" s="11" t="s">
        <v>11</v>
      </c>
      <c r="G47" s="11" t="s">
        <v>28</v>
      </c>
      <c r="H47" s="16">
        <v>4</v>
      </c>
      <c r="I47" s="17">
        <v>30000</v>
      </c>
      <c r="J47" s="17">
        <v>120000</v>
      </c>
      <c r="K47" s="18">
        <v>45705</v>
      </c>
      <c r="L47" s="10">
        <f t="shared" si="0"/>
        <v>2025</v>
      </c>
      <c r="M47" s="11" t="s">
        <v>13</v>
      </c>
    </row>
    <row r="48" spans="1:13" x14ac:dyDescent="0.35">
      <c r="A48" s="9" t="s">
        <v>74</v>
      </c>
      <c r="B48" s="9" t="s">
        <v>180</v>
      </c>
      <c r="C48" s="9" t="s">
        <v>181</v>
      </c>
      <c r="D48" s="10" t="str">
        <f>CONCATENATE(Sales_Data!$B48," ",Sales_Data!$C48)</f>
        <v>Sharon Okonkwo</v>
      </c>
      <c r="E48" s="10" t="s">
        <v>26</v>
      </c>
      <c r="F48" s="9" t="s">
        <v>11</v>
      </c>
      <c r="G48" s="9" t="s">
        <v>12</v>
      </c>
      <c r="H48" s="12">
        <v>6</v>
      </c>
      <c r="I48" s="13">
        <v>250000</v>
      </c>
      <c r="J48" s="13">
        <v>1500000</v>
      </c>
      <c r="K48" s="14">
        <v>45148</v>
      </c>
      <c r="L48" s="10">
        <f t="shared" si="0"/>
        <v>2023</v>
      </c>
      <c r="M48" s="9" t="s">
        <v>18</v>
      </c>
    </row>
    <row r="49" spans="1:13" x14ac:dyDescent="0.35">
      <c r="A49" s="11" t="s">
        <v>75</v>
      </c>
      <c r="B49" s="11" t="s">
        <v>182</v>
      </c>
      <c r="C49" s="11" t="s">
        <v>133</v>
      </c>
      <c r="D49" s="15" t="str">
        <f>CONCATENATE(Sales_Data!$B49," ",Sales_Data!$C49)</f>
        <v>Patricia George</v>
      </c>
      <c r="E49" s="15" t="s">
        <v>26</v>
      </c>
      <c r="F49" s="11" t="s">
        <v>15</v>
      </c>
      <c r="G49" s="11" t="s">
        <v>16</v>
      </c>
      <c r="H49" s="16">
        <v>8</v>
      </c>
      <c r="I49" s="17">
        <v>200000</v>
      </c>
      <c r="J49" s="17">
        <v>1600000</v>
      </c>
      <c r="K49" s="18">
        <v>45552</v>
      </c>
      <c r="L49" s="10">
        <f t="shared" si="0"/>
        <v>2024</v>
      </c>
      <c r="M49" s="11" t="s">
        <v>33</v>
      </c>
    </row>
    <row r="50" spans="1:13" x14ac:dyDescent="0.35">
      <c r="A50" s="9" t="s">
        <v>88</v>
      </c>
      <c r="B50" s="9" t="s">
        <v>162</v>
      </c>
      <c r="C50" s="9" t="s">
        <v>172</v>
      </c>
      <c r="D50" s="10" t="str">
        <f>CONCATENATE(Sales_Data!$B50," ",Sales_Data!$C50)</f>
        <v>Peter Ahmed</v>
      </c>
      <c r="E50" s="10" t="s">
        <v>10</v>
      </c>
      <c r="F50" s="9" t="s">
        <v>15</v>
      </c>
      <c r="G50" s="9" t="s">
        <v>53</v>
      </c>
      <c r="H50" s="12">
        <v>7</v>
      </c>
      <c r="I50" s="13">
        <v>60000</v>
      </c>
      <c r="J50" s="13">
        <v>420000</v>
      </c>
      <c r="K50" s="14">
        <v>45797</v>
      </c>
      <c r="L50" s="10">
        <f t="shared" si="0"/>
        <v>2025</v>
      </c>
      <c r="M50" s="9" t="s">
        <v>13</v>
      </c>
    </row>
    <row r="51" spans="1:13" x14ac:dyDescent="0.35">
      <c r="A51" s="11" t="s">
        <v>77</v>
      </c>
      <c r="B51" s="11" t="s">
        <v>183</v>
      </c>
      <c r="C51" s="11" t="s">
        <v>134</v>
      </c>
      <c r="D51" s="15" t="str">
        <f>CONCATENATE(Sales_Data!$B51," ",Sales_Data!$C51)</f>
        <v>Sade Ike</v>
      </c>
      <c r="E51" s="15" t="s">
        <v>26</v>
      </c>
      <c r="F51" s="11" t="s">
        <v>20</v>
      </c>
      <c r="G51" s="11" t="s">
        <v>21</v>
      </c>
      <c r="H51" s="16">
        <v>9</v>
      </c>
      <c r="I51" s="17">
        <v>1200</v>
      </c>
      <c r="J51" s="17">
        <v>10800</v>
      </c>
      <c r="K51" s="18">
        <v>45163</v>
      </c>
      <c r="L51" s="10">
        <f t="shared" si="0"/>
        <v>2023</v>
      </c>
      <c r="M51" s="11" t="s">
        <v>13</v>
      </c>
    </row>
    <row r="52" spans="1:13" x14ac:dyDescent="0.35">
      <c r="A52" s="9" t="s">
        <v>78</v>
      </c>
      <c r="B52" s="9" t="s">
        <v>184</v>
      </c>
      <c r="C52" s="9" t="s">
        <v>165</v>
      </c>
      <c r="D52" s="10" t="str">
        <f>CONCATENATE(Sales_Data!$B52," ",Sales_Data!$C52)</f>
        <v>Prosper Smith</v>
      </c>
      <c r="E52" s="10" t="s">
        <v>10</v>
      </c>
      <c r="F52" s="9" t="s">
        <v>20</v>
      </c>
      <c r="G52" s="9" t="s">
        <v>32</v>
      </c>
      <c r="H52" s="12">
        <v>10</v>
      </c>
      <c r="I52" s="13">
        <v>15000</v>
      </c>
      <c r="J52" s="13">
        <v>150000</v>
      </c>
      <c r="K52" s="14">
        <v>45634</v>
      </c>
      <c r="L52" s="10">
        <f t="shared" si="0"/>
        <v>2024</v>
      </c>
      <c r="M52" s="9" t="s">
        <v>24</v>
      </c>
    </row>
    <row r="53" spans="1:13" x14ac:dyDescent="0.35">
      <c r="A53" s="11" t="s">
        <v>79</v>
      </c>
      <c r="B53" s="11" t="s">
        <v>185</v>
      </c>
      <c r="C53" s="11" t="s">
        <v>160</v>
      </c>
      <c r="D53" s="15" t="str">
        <f>CONCATENATE(Sales_Data!$B53," ",Sales_Data!$C53)</f>
        <v>Favour Nwosu</v>
      </c>
      <c r="E53" s="15" t="s">
        <v>26</v>
      </c>
      <c r="F53" s="11" t="s">
        <v>20</v>
      </c>
      <c r="G53" s="11" t="s">
        <v>21</v>
      </c>
      <c r="H53" s="16">
        <v>10</v>
      </c>
      <c r="I53" s="17">
        <v>1200</v>
      </c>
      <c r="J53" s="17">
        <v>12000</v>
      </c>
      <c r="K53" s="18">
        <v>45448</v>
      </c>
      <c r="L53" s="10">
        <f t="shared" si="0"/>
        <v>2024</v>
      </c>
      <c r="M53" s="11" t="s">
        <v>18</v>
      </c>
    </row>
    <row r="54" spans="1:13" x14ac:dyDescent="0.35">
      <c r="A54" s="9" t="s">
        <v>80</v>
      </c>
      <c r="B54" s="9" t="s">
        <v>186</v>
      </c>
      <c r="C54" s="9" t="s">
        <v>177</v>
      </c>
      <c r="D54" s="10" t="str">
        <f>CONCATENATE(Sales_Data!$B54," ",Sales_Data!$C54)</f>
        <v>Muhammed Usman</v>
      </c>
      <c r="E54" s="10" t="s">
        <v>10</v>
      </c>
      <c r="F54" s="9" t="s">
        <v>11</v>
      </c>
      <c r="G54" s="9" t="s">
        <v>28</v>
      </c>
      <c r="H54" s="12">
        <v>7</v>
      </c>
      <c r="I54" s="13">
        <v>30000</v>
      </c>
      <c r="J54" s="13">
        <v>210000</v>
      </c>
      <c r="K54" s="14">
        <v>45810</v>
      </c>
      <c r="L54" s="10">
        <f t="shared" si="0"/>
        <v>2025</v>
      </c>
      <c r="M54" s="9" t="s">
        <v>33</v>
      </c>
    </row>
    <row r="55" spans="1:13" x14ac:dyDescent="0.35">
      <c r="A55" s="11" t="s">
        <v>81</v>
      </c>
      <c r="B55" s="11" t="s">
        <v>154</v>
      </c>
      <c r="C55" s="11" t="s">
        <v>136</v>
      </c>
      <c r="D55" s="15" t="str">
        <f>CONCATENATE(Sales_Data!$B55," ",Sales_Data!$C55)</f>
        <v>Oluwaseun Adams</v>
      </c>
      <c r="E55" s="15" t="s">
        <v>10</v>
      </c>
      <c r="F55" s="11" t="s">
        <v>11</v>
      </c>
      <c r="G55" s="11" t="s">
        <v>28</v>
      </c>
      <c r="H55" s="16">
        <v>6</v>
      </c>
      <c r="I55" s="17">
        <v>30000</v>
      </c>
      <c r="J55" s="17">
        <v>180000</v>
      </c>
      <c r="K55" s="18">
        <v>45965</v>
      </c>
      <c r="L55" s="10">
        <f t="shared" si="0"/>
        <v>2025</v>
      </c>
      <c r="M55" s="11" t="s">
        <v>33</v>
      </c>
    </row>
    <row r="56" spans="1:13" x14ac:dyDescent="0.35">
      <c r="A56" s="9" t="s">
        <v>93</v>
      </c>
      <c r="B56" s="9" t="s">
        <v>187</v>
      </c>
      <c r="C56" s="9" t="s">
        <v>155</v>
      </c>
      <c r="D56" s="10" t="str">
        <f>CONCATENATE(Sales_Data!$B56," ",Sales_Data!$C56)</f>
        <v>Femi Olawale</v>
      </c>
      <c r="E56" s="10" t="s">
        <v>10</v>
      </c>
      <c r="F56" s="9" t="s">
        <v>20</v>
      </c>
      <c r="G56" s="9" t="s">
        <v>21</v>
      </c>
      <c r="H56" s="12">
        <v>6</v>
      </c>
      <c r="I56" s="13">
        <v>1200</v>
      </c>
      <c r="J56" s="13">
        <v>7200</v>
      </c>
      <c r="K56" s="14">
        <v>45400</v>
      </c>
      <c r="L56" s="10">
        <f t="shared" si="0"/>
        <v>2024</v>
      </c>
      <c r="M56" s="9" t="s">
        <v>18</v>
      </c>
    </row>
    <row r="57" spans="1:13" x14ac:dyDescent="0.35">
      <c r="A57" s="11" t="s">
        <v>83</v>
      </c>
      <c r="B57" s="11" t="s">
        <v>188</v>
      </c>
      <c r="C57" s="11" t="s">
        <v>161</v>
      </c>
      <c r="D57" s="15" t="str">
        <f>CONCATENATE(Sales_Data!$B57," ",Sales_Data!$C57)</f>
        <v>Mariam Mohammed</v>
      </c>
      <c r="E57" s="15" t="s">
        <v>26</v>
      </c>
      <c r="F57" s="11" t="s">
        <v>15</v>
      </c>
      <c r="G57" s="11" t="s">
        <v>48</v>
      </c>
      <c r="H57" s="16">
        <v>3</v>
      </c>
      <c r="I57" s="17">
        <v>80000</v>
      </c>
      <c r="J57" s="17">
        <v>240000</v>
      </c>
      <c r="K57" s="18">
        <v>44927</v>
      </c>
      <c r="L57" s="10">
        <f t="shared" si="0"/>
        <v>2023</v>
      </c>
      <c r="M57" s="11" t="s">
        <v>24</v>
      </c>
    </row>
    <row r="58" spans="1:13" x14ac:dyDescent="0.35">
      <c r="A58" s="9" t="s">
        <v>84</v>
      </c>
      <c r="B58" s="9" t="s">
        <v>189</v>
      </c>
      <c r="C58" s="9" t="s">
        <v>144</v>
      </c>
      <c r="D58" s="10" t="str">
        <f>CONCATENATE(Sales_Data!$B58," ",Sales_Data!$C58)</f>
        <v>Zainab Ibrahim</v>
      </c>
      <c r="E58" s="10" t="s">
        <v>26</v>
      </c>
      <c r="F58" s="9" t="s">
        <v>20</v>
      </c>
      <c r="G58" s="9" t="s">
        <v>21</v>
      </c>
      <c r="H58" s="12">
        <v>4</v>
      </c>
      <c r="I58" s="13">
        <v>1200</v>
      </c>
      <c r="J58" s="13">
        <v>4800</v>
      </c>
      <c r="K58" s="14">
        <v>45831</v>
      </c>
      <c r="L58" s="10">
        <f t="shared" si="0"/>
        <v>2025</v>
      </c>
      <c r="M58" s="9" t="s">
        <v>24</v>
      </c>
    </row>
    <row r="59" spans="1:13" x14ac:dyDescent="0.35">
      <c r="A59" s="11" t="s">
        <v>85</v>
      </c>
      <c r="B59" s="11" t="s">
        <v>190</v>
      </c>
      <c r="C59" s="11" t="s">
        <v>153</v>
      </c>
      <c r="D59" s="15" t="str">
        <f>CONCATENATE(Sales_Data!$B59," ",Sales_Data!$C59)</f>
        <v>Godwin Brown</v>
      </c>
      <c r="E59" s="15" t="s">
        <v>10</v>
      </c>
      <c r="F59" s="11" t="s">
        <v>15</v>
      </c>
      <c r="G59" s="11" t="s">
        <v>48</v>
      </c>
      <c r="H59" s="16">
        <v>4</v>
      </c>
      <c r="I59" s="17">
        <v>80000</v>
      </c>
      <c r="J59" s="17">
        <v>320000</v>
      </c>
      <c r="K59" s="18">
        <v>45508</v>
      </c>
      <c r="L59" s="10">
        <f t="shared" si="0"/>
        <v>2024</v>
      </c>
      <c r="M59" s="11" t="s">
        <v>13</v>
      </c>
    </row>
    <row r="60" spans="1:13" x14ac:dyDescent="0.35">
      <c r="A60" s="9" t="s">
        <v>86</v>
      </c>
      <c r="B60" s="9" t="s">
        <v>191</v>
      </c>
      <c r="C60" s="9" t="s">
        <v>146</v>
      </c>
      <c r="D60" s="10" t="str">
        <f>CONCATENATE(Sales_Data!$B60," ",Sales_Data!$C60)</f>
        <v>Gideon Obi</v>
      </c>
      <c r="E60" s="10" t="s">
        <v>10</v>
      </c>
      <c r="F60" s="9" t="s">
        <v>20</v>
      </c>
      <c r="G60" s="9" t="s">
        <v>32</v>
      </c>
      <c r="H60" s="12">
        <v>4</v>
      </c>
      <c r="I60" s="13">
        <v>15000</v>
      </c>
      <c r="J60" s="13">
        <v>60000</v>
      </c>
      <c r="K60" s="14">
        <v>44977</v>
      </c>
      <c r="L60" s="10">
        <f t="shared" si="0"/>
        <v>2023</v>
      </c>
      <c r="M60" s="9" t="s">
        <v>18</v>
      </c>
    </row>
    <row r="61" spans="1:13" x14ac:dyDescent="0.35">
      <c r="A61" s="11" t="s">
        <v>87</v>
      </c>
      <c r="B61" s="11" t="s">
        <v>192</v>
      </c>
      <c r="C61" s="11" t="s">
        <v>155</v>
      </c>
      <c r="D61" s="15" t="str">
        <f>CONCATENATE(Sales_Data!$B61," ",Sales_Data!$C61)</f>
        <v>Morenikeji Olawale</v>
      </c>
      <c r="E61" s="15" t="s">
        <v>26</v>
      </c>
      <c r="F61" s="11" t="s">
        <v>11</v>
      </c>
      <c r="G61" s="11" t="s">
        <v>12</v>
      </c>
      <c r="H61" s="16">
        <v>8</v>
      </c>
      <c r="I61" s="17">
        <v>250000</v>
      </c>
      <c r="J61" s="17">
        <v>2000000</v>
      </c>
      <c r="K61" s="18">
        <v>45325</v>
      </c>
      <c r="L61" s="10">
        <f t="shared" si="0"/>
        <v>2024</v>
      </c>
      <c r="M61" s="11" t="s">
        <v>24</v>
      </c>
    </row>
    <row r="62" spans="1:13" x14ac:dyDescent="0.35">
      <c r="A62" s="9" t="s">
        <v>98</v>
      </c>
      <c r="B62" s="9" t="s">
        <v>154</v>
      </c>
      <c r="C62" s="9" t="s">
        <v>134</v>
      </c>
      <c r="D62" s="10" t="str">
        <f>CONCATENATE(Sales_Data!$B62," ",Sales_Data!$C62)</f>
        <v>Oluwaseun Ike</v>
      </c>
      <c r="E62" s="10" t="s">
        <v>10</v>
      </c>
      <c r="F62" s="9" t="s">
        <v>38</v>
      </c>
      <c r="G62" s="9" t="s">
        <v>46</v>
      </c>
      <c r="H62" s="12">
        <v>3</v>
      </c>
      <c r="I62" s="13">
        <v>12000</v>
      </c>
      <c r="J62" s="13">
        <v>36000</v>
      </c>
      <c r="K62" s="14">
        <v>44982</v>
      </c>
      <c r="L62" s="10">
        <f t="shared" si="0"/>
        <v>2023</v>
      </c>
      <c r="M62" s="9" t="s">
        <v>24</v>
      </c>
    </row>
    <row r="63" spans="1:13" x14ac:dyDescent="0.35">
      <c r="A63" s="11" t="s">
        <v>89</v>
      </c>
      <c r="B63" s="11" t="s">
        <v>193</v>
      </c>
      <c r="C63" s="11" t="s">
        <v>194</v>
      </c>
      <c r="D63" s="15" t="str">
        <f>CONCATENATE(Sales_Data!$B63," ",Sales_Data!$C63)</f>
        <v>Daniel Opemipo</v>
      </c>
      <c r="E63" s="15" t="s">
        <v>10</v>
      </c>
      <c r="F63" s="11" t="s">
        <v>38</v>
      </c>
      <c r="G63" s="11" t="s">
        <v>39</v>
      </c>
      <c r="H63" s="16">
        <v>9</v>
      </c>
      <c r="I63" s="17">
        <v>5000</v>
      </c>
      <c r="J63" s="17">
        <v>45000</v>
      </c>
      <c r="K63" s="18">
        <v>45861</v>
      </c>
      <c r="L63" s="10">
        <f t="shared" si="0"/>
        <v>2025</v>
      </c>
      <c r="M63" s="11" t="s">
        <v>13</v>
      </c>
    </row>
    <row r="64" spans="1:13" x14ac:dyDescent="0.35">
      <c r="A64" s="9" t="s">
        <v>90</v>
      </c>
      <c r="B64" s="9" t="s">
        <v>195</v>
      </c>
      <c r="C64" s="9" t="s">
        <v>140</v>
      </c>
      <c r="D64" s="10" t="str">
        <f>CONCATENATE(Sales_Data!$B64," ",Sales_Data!$C64)</f>
        <v>Ayomide Taiwo</v>
      </c>
      <c r="E64" s="10" t="s">
        <v>26</v>
      </c>
      <c r="F64" s="9" t="s">
        <v>38</v>
      </c>
      <c r="G64" s="9" t="s">
        <v>46</v>
      </c>
      <c r="H64" s="12">
        <v>9</v>
      </c>
      <c r="I64" s="13">
        <v>12000</v>
      </c>
      <c r="J64" s="13">
        <v>108000</v>
      </c>
      <c r="K64" s="14">
        <v>45960</v>
      </c>
      <c r="L64" s="10">
        <f t="shared" si="0"/>
        <v>2025</v>
      </c>
      <c r="M64" s="9" t="s">
        <v>24</v>
      </c>
    </row>
    <row r="65" spans="1:13" x14ac:dyDescent="0.35">
      <c r="A65" s="11" t="s">
        <v>91</v>
      </c>
      <c r="B65" s="11" t="s">
        <v>168</v>
      </c>
      <c r="C65" s="11" t="s">
        <v>153</v>
      </c>
      <c r="D65" s="15" t="str">
        <f>CONCATENATE(Sales_Data!$B65," ",Sales_Data!$C65)</f>
        <v>Sarah Brown</v>
      </c>
      <c r="E65" s="15" t="s">
        <v>26</v>
      </c>
      <c r="F65" s="11" t="s">
        <v>15</v>
      </c>
      <c r="G65" s="11" t="s">
        <v>48</v>
      </c>
      <c r="H65" s="16">
        <v>8</v>
      </c>
      <c r="I65" s="17">
        <v>80000</v>
      </c>
      <c r="J65" s="17">
        <v>640000</v>
      </c>
      <c r="K65" s="18">
        <v>45433</v>
      </c>
      <c r="L65" s="10">
        <f t="shared" si="0"/>
        <v>2024</v>
      </c>
      <c r="M65" s="11" t="s">
        <v>33</v>
      </c>
    </row>
    <row r="66" spans="1:13" x14ac:dyDescent="0.35">
      <c r="A66" s="9" t="s">
        <v>92</v>
      </c>
      <c r="B66" s="9" t="s">
        <v>196</v>
      </c>
      <c r="C66" s="9" t="s">
        <v>142</v>
      </c>
      <c r="D66" s="10" t="str">
        <f>CONCATENATE(Sales_Data!$B66," ",Sales_Data!$C66)</f>
        <v>Simon Balogun</v>
      </c>
      <c r="E66" s="10" t="s">
        <v>10</v>
      </c>
      <c r="F66" s="9" t="s">
        <v>20</v>
      </c>
      <c r="G66" s="9" t="s">
        <v>21</v>
      </c>
      <c r="H66" s="12">
        <v>4</v>
      </c>
      <c r="I66" s="13">
        <v>1200</v>
      </c>
      <c r="J66" s="13">
        <v>4800</v>
      </c>
      <c r="K66" s="14">
        <v>45407</v>
      </c>
      <c r="L66" s="10">
        <f t="shared" si="0"/>
        <v>2024</v>
      </c>
      <c r="M66" s="9" t="s">
        <v>33</v>
      </c>
    </row>
    <row r="67" spans="1:13" x14ac:dyDescent="0.35">
      <c r="A67" s="11" t="s">
        <v>94</v>
      </c>
      <c r="B67" s="11" t="s">
        <v>135</v>
      </c>
      <c r="C67" s="11" t="s">
        <v>197</v>
      </c>
      <c r="D67" s="15" t="str">
        <f>CONCATENATE(Sales_Data!$B67," ",Sales_Data!$C67)</f>
        <v>Linda Fisayo</v>
      </c>
      <c r="E67" s="15" t="s">
        <v>26</v>
      </c>
      <c r="F67" s="11" t="s">
        <v>15</v>
      </c>
      <c r="G67" s="11" t="s">
        <v>48</v>
      </c>
      <c r="H67" s="16">
        <v>3</v>
      </c>
      <c r="I67" s="17">
        <v>80000</v>
      </c>
      <c r="J67" s="17">
        <v>240000</v>
      </c>
      <c r="K67" s="18">
        <v>45604</v>
      </c>
      <c r="L67" s="10">
        <f t="shared" ref="L67:L101" si="1">YEAR(K67)</f>
        <v>2024</v>
      </c>
      <c r="M67" s="11" t="s">
        <v>24</v>
      </c>
    </row>
    <row r="68" spans="1:13" x14ac:dyDescent="0.35">
      <c r="A68" s="9" t="s">
        <v>95</v>
      </c>
      <c r="B68" s="9" t="s">
        <v>198</v>
      </c>
      <c r="C68" s="9" t="s">
        <v>159</v>
      </c>
      <c r="D68" s="10" t="str">
        <f>CONCATENATE(Sales_Data!$B68," ",Sales_Data!$C68)</f>
        <v>Sandra Okafor</v>
      </c>
      <c r="E68" s="10" t="s">
        <v>26</v>
      </c>
      <c r="F68" s="9" t="s">
        <v>15</v>
      </c>
      <c r="G68" s="9" t="s">
        <v>53</v>
      </c>
      <c r="H68" s="12">
        <v>1</v>
      </c>
      <c r="I68" s="13">
        <v>60000</v>
      </c>
      <c r="J68" s="13">
        <v>60000</v>
      </c>
      <c r="K68" s="14">
        <v>45706</v>
      </c>
      <c r="L68" s="10">
        <f t="shared" si="1"/>
        <v>2025</v>
      </c>
      <c r="M68" s="9" t="s">
        <v>13</v>
      </c>
    </row>
    <row r="69" spans="1:13" x14ac:dyDescent="0.35">
      <c r="A69" s="11" t="s">
        <v>96</v>
      </c>
      <c r="B69" s="11" t="s">
        <v>139</v>
      </c>
      <c r="C69" s="11" t="s">
        <v>170</v>
      </c>
      <c r="D69" s="15" t="str">
        <f>CONCATENATE(Sales_Data!$B69," ",Sales_Data!$C69)</f>
        <v>Yusuf Johnson</v>
      </c>
      <c r="E69" s="15" t="s">
        <v>10</v>
      </c>
      <c r="F69" s="11" t="s">
        <v>15</v>
      </c>
      <c r="G69" s="11" t="s">
        <v>16</v>
      </c>
      <c r="H69" s="16">
        <v>6</v>
      </c>
      <c r="I69" s="17">
        <v>200000</v>
      </c>
      <c r="J69" s="17">
        <v>1200000</v>
      </c>
      <c r="K69" s="18">
        <v>45926</v>
      </c>
      <c r="L69" s="10">
        <f t="shared" si="1"/>
        <v>2025</v>
      </c>
      <c r="M69" s="11" t="s">
        <v>18</v>
      </c>
    </row>
    <row r="70" spans="1:13" x14ac:dyDescent="0.35">
      <c r="A70" s="9" t="s">
        <v>97</v>
      </c>
      <c r="B70" s="9" t="s">
        <v>171</v>
      </c>
      <c r="C70" s="9" t="s">
        <v>199</v>
      </c>
      <c r="D70" s="10" t="str">
        <f>CONCATENATE(Sales_Data!$B70," ",Sales_Data!$C70)</f>
        <v>Henry Olumuyiwa</v>
      </c>
      <c r="E70" s="10" t="s">
        <v>10</v>
      </c>
      <c r="F70" s="9" t="s">
        <v>38</v>
      </c>
      <c r="G70" s="9" t="s">
        <v>46</v>
      </c>
      <c r="H70" s="12">
        <v>7</v>
      </c>
      <c r="I70" s="13">
        <v>12000</v>
      </c>
      <c r="J70" s="13">
        <v>84000</v>
      </c>
      <c r="K70" s="14">
        <v>45755</v>
      </c>
      <c r="L70" s="10">
        <f t="shared" si="1"/>
        <v>2025</v>
      </c>
      <c r="M70" s="9" t="s">
        <v>33</v>
      </c>
    </row>
    <row r="71" spans="1:13" x14ac:dyDescent="0.35">
      <c r="A71" s="11" t="s">
        <v>47</v>
      </c>
      <c r="B71" s="11" t="s">
        <v>200</v>
      </c>
      <c r="C71" s="11" t="s">
        <v>177</v>
      </c>
      <c r="D71" s="15" t="str">
        <f>CONCATENATE(Sales_Data!$B71," ",Sales_Data!$C71)</f>
        <v>Aisha Usman</v>
      </c>
      <c r="E71" s="15" t="s">
        <v>26</v>
      </c>
      <c r="F71" s="11" t="s">
        <v>15</v>
      </c>
      <c r="G71" s="11" t="s">
        <v>48</v>
      </c>
      <c r="H71" s="16">
        <v>6</v>
      </c>
      <c r="I71" s="17">
        <v>80000</v>
      </c>
      <c r="J71" s="17">
        <v>480000</v>
      </c>
      <c r="K71" s="18">
        <v>45434</v>
      </c>
      <c r="L71" s="10">
        <f t="shared" si="1"/>
        <v>2024</v>
      </c>
      <c r="M71" s="11" t="s">
        <v>13</v>
      </c>
    </row>
    <row r="72" spans="1:13" x14ac:dyDescent="0.35">
      <c r="A72" s="9" t="s">
        <v>22</v>
      </c>
      <c r="B72" s="9" t="s">
        <v>154</v>
      </c>
      <c r="C72" s="9" t="s">
        <v>151</v>
      </c>
      <c r="D72" s="10" t="str">
        <f>CONCATENATE(Sales_Data!$B72," ",Sales_Data!$C72)</f>
        <v>Oluwaseun Eze</v>
      </c>
      <c r="E72" s="10" t="s">
        <v>10</v>
      </c>
      <c r="F72" s="9" t="s">
        <v>11</v>
      </c>
      <c r="G72" s="9" t="s">
        <v>23</v>
      </c>
      <c r="H72" s="12">
        <v>6</v>
      </c>
      <c r="I72" s="13">
        <v>180000</v>
      </c>
      <c r="J72" s="13">
        <v>1080000</v>
      </c>
      <c r="K72" s="14">
        <v>45182</v>
      </c>
      <c r="L72" s="10">
        <f t="shared" si="1"/>
        <v>2023</v>
      </c>
      <c r="M72" s="9" t="s">
        <v>24</v>
      </c>
    </row>
    <row r="73" spans="1:13" x14ac:dyDescent="0.35">
      <c r="A73" s="11" t="s">
        <v>100</v>
      </c>
      <c r="B73" s="11" t="s">
        <v>200</v>
      </c>
      <c r="C73" s="11" t="s">
        <v>136</v>
      </c>
      <c r="D73" s="15" t="str">
        <f>CONCATENATE(Sales_Data!$B73," ",Sales_Data!$C73)</f>
        <v>Aisha Adams</v>
      </c>
      <c r="E73" s="15" t="s">
        <v>26</v>
      </c>
      <c r="F73" s="11" t="s">
        <v>15</v>
      </c>
      <c r="G73" s="11" t="s">
        <v>53</v>
      </c>
      <c r="H73" s="16">
        <v>4</v>
      </c>
      <c r="I73" s="17">
        <v>60000</v>
      </c>
      <c r="J73" s="17">
        <v>240000</v>
      </c>
      <c r="K73" s="18">
        <v>45496</v>
      </c>
      <c r="L73" s="10">
        <f t="shared" si="1"/>
        <v>2024</v>
      </c>
      <c r="M73" s="11" t="s">
        <v>24</v>
      </c>
    </row>
    <row r="74" spans="1:13" x14ac:dyDescent="0.35">
      <c r="A74" s="9" t="s">
        <v>101</v>
      </c>
      <c r="B74" s="9" t="s">
        <v>201</v>
      </c>
      <c r="C74" s="9" t="s">
        <v>202</v>
      </c>
      <c r="D74" s="10" t="str">
        <f>CONCATENATE(Sales_Data!$B74," ",Sales_Data!$C74)</f>
        <v>Michael Okocha</v>
      </c>
      <c r="E74" s="10" t="s">
        <v>10</v>
      </c>
      <c r="F74" s="9" t="s">
        <v>15</v>
      </c>
      <c r="G74" s="9" t="s">
        <v>53</v>
      </c>
      <c r="H74" s="12">
        <v>2</v>
      </c>
      <c r="I74" s="13">
        <v>60000</v>
      </c>
      <c r="J74" s="13">
        <v>120000</v>
      </c>
      <c r="K74" s="14">
        <v>45386</v>
      </c>
      <c r="L74" s="10">
        <f t="shared" si="1"/>
        <v>2024</v>
      </c>
      <c r="M74" s="9" t="s">
        <v>33</v>
      </c>
    </row>
    <row r="75" spans="1:13" x14ac:dyDescent="0.35">
      <c r="A75" s="11" t="s">
        <v>116</v>
      </c>
      <c r="B75" s="11" t="s">
        <v>178</v>
      </c>
      <c r="C75" s="11" t="s">
        <v>136</v>
      </c>
      <c r="D75" s="15" t="str">
        <f>CONCATENATE(Sales_Data!$B75," ",Sales_Data!$C75)</f>
        <v>Joseph Adams</v>
      </c>
      <c r="E75" s="15" t="s">
        <v>10</v>
      </c>
      <c r="F75" s="11" t="s">
        <v>20</v>
      </c>
      <c r="G75" s="11" t="s">
        <v>32</v>
      </c>
      <c r="H75" s="16">
        <v>2</v>
      </c>
      <c r="I75" s="17">
        <v>15000</v>
      </c>
      <c r="J75" s="17">
        <v>30000</v>
      </c>
      <c r="K75" s="18">
        <v>45319</v>
      </c>
      <c r="L75" s="10">
        <f t="shared" si="1"/>
        <v>2024</v>
      </c>
      <c r="M75" s="11" t="s">
        <v>18</v>
      </c>
    </row>
    <row r="76" spans="1:13" x14ac:dyDescent="0.35">
      <c r="A76" s="9" t="s">
        <v>103</v>
      </c>
      <c r="B76" s="9" t="s">
        <v>163</v>
      </c>
      <c r="C76" s="9" t="s">
        <v>203</v>
      </c>
      <c r="D76" s="10" t="str">
        <f>CONCATENATE(Sales_Data!$B76," ",Sales_Data!$C76)</f>
        <v>Chika Nwanwko</v>
      </c>
      <c r="E76" s="10" t="s">
        <v>10</v>
      </c>
      <c r="F76" s="9" t="s">
        <v>38</v>
      </c>
      <c r="G76" s="9" t="s">
        <v>39</v>
      </c>
      <c r="H76" s="12">
        <v>8</v>
      </c>
      <c r="I76" s="13">
        <v>5000</v>
      </c>
      <c r="J76" s="13">
        <v>40000</v>
      </c>
      <c r="K76" s="14">
        <v>45451</v>
      </c>
      <c r="L76" s="10">
        <f t="shared" si="1"/>
        <v>2024</v>
      </c>
      <c r="M76" s="9" t="s">
        <v>24</v>
      </c>
    </row>
    <row r="77" spans="1:13" x14ac:dyDescent="0.35">
      <c r="A77" s="11" t="s">
        <v>104</v>
      </c>
      <c r="B77" s="11" t="s">
        <v>154</v>
      </c>
      <c r="C77" s="11" t="s">
        <v>160</v>
      </c>
      <c r="D77" s="15" t="str">
        <f>CONCATENATE(Sales_Data!$B77," ",Sales_Data!$C77)</f>
        <v>Oluwaseun Nwosu</v>
      </c>
      <c r="E77" s="15" t="s">
        <v>10</v>
      </c>
      <c r="F77" s="11" t="s">
        <v>20</v>
      </c>
      <c r="G77" s="11" t="s">
        <v>32</v>
      </c>
      <c r="H77" s="16">
        <v>10</v>
      </c>
      <c r="I77" s="17">
        <v>15000</v>
      </c>
      <c r="J77" s="17">
        <v>150000</v>
      </c>
      <c r="K77" s="18">
        <v>45148</v>
      </c>
      <c r="L77" s="10">
        <f t="shared" si="1"/>
        <v>2023</v>
      </c>
      <c r="M77" s="11" t="s">
        <v>33</v>
      </c>
    </row>
    <row r="78" spans="1:13" x14ac:dyDescent="0.35">
      <c r="A78" s="9" t="s">
        <v>105</v>
      </c>
      <c r="B78" s="9" t="s">
        <v>183</v>
      </c>
      <c r="C78" s="9" t="s">
        <v>170</v>
      </c>
      <c r="D78" s="10" t="str">
        <f>CONCATENATE(Sales_Data!$B78," ",Sales_Data!$C78)</f>
        <v>Sade Johnson</v>
      </c>
      <c r="E78" s="10" t="s">
        <v>26</v>
      </c>
      <c r="F78" s="9" t="s">
        <v>11</v>
      </c>
      <c r="G78" s="9" t="s">
        <v>23</v>
      </c>
      <c r="H78" s="12">
        <v>10</v>
      </c>
      <c r="I78" s="13">
        <v>180000</v>
      </c>
      <c r="J78" s="13">
        <v>1800000</v>
      </c>
      <c r="K78" s="14">
        <v>45424</v>
      </c>
      <c r="L78" s="10">
        <f t="shared" si="1"/>
        <v>2024</v>
      </c>
      <c r="M78" s="9" t="s">
        <v>13</v>
      </c>
    </row>
    <row r="79" spans="1:13" x14ac:dyDescent="0.35">
      <c r="A79" s="11" t="s">
        <v>65</v>
      </c>
      <c r="B79" s="11" t="s">
        <v>144</v>
      </c>
      <c r="C79" s="11" t="s">
        <v>155</v>
      </c>
      <c r="D79" s="15" t="str">
        <f>CONCATENATE(Sales_Data!$B79," ",Sales_Data!$C79)</f>
        <v>Ibrahim Olawale</v>
      </c>
      <c r="E79" s="15" t="s">
        <v>10</v>
      </c>
      <c r="F79" s="11" t="s">
        <v>38</v>
      </c>
      <c r="G79" s="11" t="s">
        <v>46</v>
      </c>
      <c r="H79" s="16">
        <v>3</v>
      </c>
      <c r="I79" s="17">
        <v>12000</v>
      </c>
      <c r="J79" s="17">
        <v>36000</v>
      </c>
      <c r="K79" s="18">
        <v>45510</v>
      </c>
      <c r="L79" s="10">
        <f t="shared" si="1"/>
        <v>2024</v>
      </c>
      <c r="M79" s="11" t="s">
        <v>33</v>
      </c>
    </row>
    <row r="80" spans="1:13" x14ac:dyDescent="0.35">
      <c r="A80" s="9" t="s">
        <v>107</v>
      </c>
      <c r="B80" s="9" t="s">
        <v>204</v>
      </c>
      <c r="C80" s="9" t="s">
        <v>205</v>
      </c>
      <c r="D80" s="10" t="str">
        <f>CONCATENATE(Sales_Data!$B80," ",Sales_Data!$C80)</f>
        <v>Ibukun Lawal</v>
      </c>
      <c r="E80" s="10" t="s">
        <v>26</v>
      </c>
      <c r="F80" s="9" t="s">
        <v>15</v>
      </c>
      <c r="G80" s="9" t="s">
        <v>48</v>
      </c>
      <c r="H80" s="12">
        <v>6</v>
      </c>
      <c r="I80" s="13">
        <v>80000</v>
      </c>
      <c r="J80" s="13">
        <v>480000</v>
      </c>
      <c r="K80" s="14">
        <v>45787</v>
      </c>
      <c r="L80" s="10">
        <f t="shared" si="1"/>
        <v>2025</v>
      </c>
      <c r="M80" s="9" t="s">
        <v>13</v>
      </c>
    </row>
    <row r="81" spans="1:13" x14ac:dyDescent="0.35">
      <c r="A81" s="11" t="s">
        <v>108</v>
      </c>
      <c r="B81" s="11" t="s">
        <v>144</v>
      </c>
      <c r="C81" s="11" t="s">
        <v>142</v>
      </c>
      <c r="D81" s="15" t="str">
        <f>CONCATENATE(Sales_Data!$B81," ",Sales_Data!$C81)</f>
        <v>Ibrahim Balogun</v>
      </c>
      <c r="E81" s="15" t="s">
        <v>10</v>
      </c>
      <c r="F81" s="11" t="s">
        <v>15</v>
      </c>
      <c r="G81" s="11" t="s">
        <v>16</v>
      </c>
      <c r="H81" s="16">
        <v>7</v>
      </c>
      <c r="I81" s="17">
        <v>200000</v>
      </c>
      <c r="J81" s="17">
        <v>1400000</v>
      </c>
      <c r="K81" s="18">
        <v>45287</v>
      </c>
      <c r="L81" s="10">
        <f t="shared" si="1"/>
        <v>2023</v>
      </c>
      <c r="M81" s="11" t="s">
        <v>24</v>
      </c>
    </row>
    <row r="82" spans="1:13" x14ac:dyDescent="0.35">
      <c r="A82" s="9" t="s">
        <v>109</v>
      </c>
      <c r="B82" s="9" t="s">
        <v>152</v>
      </c>
      <c r="C82" s="9" t="s">
        <v>206</v>
      </c>
      <c r="D82" s="10" t="str">
        <f>CONCATENATE(Sales_Data!$B82," ",Sales_Data!$C82)</f>
        <v>Blessing Olatunde</v>
      </c>
      <c r="E82" s="10" t="s">
        <v>26</v>
      </c>
      <c r="F82" s="9" t="s">
        <v>20</v>
      </c>
      <c r="G82" s="9" t="s">
        <v>21</v>
      </c>
      <c r="H82" s="12">
        <v>8</v>
      </c>
      <c r="I82" s="13">
        <v>1200</v>
      </c>
      <c r="J82" s="13">
        <v>9600</v>
      </c>
      <c r="K82" s="14">
        <v>45429</v>
      </c>
      <c r="L82" s="10">
        <f t="shared" si="1"/>
        <v>2024</v>
      </c>
      <c r="M82" s="9" t="s">
        <v>33</v>
      </c>
    </row>
    <row r="83" spans="1:13" x14ac:dyDescent="0.35">
      <c r="A83" s="11" t="s">
        <v>76</v>
      </c>
      <c r="B83" s="11" t="s">
        <v>135</v>
      </c>
      <c r="C83" s="11" t="s">
        <v>170</v>
      </c>
      <c r="D83" s="15" t="str">
        <f>CONCATENATE(Sales_Data!$B83," ",Sales_Data!$C83)</f>
        <v>Linda Johnson</v>
      </c>
      <c r="E83" s="15" t="s">
        <v>26</v>
      </c>
      <c r="F83" s="11" t="s">
        <v>38</v>
      </c>
      <c r="G83" s="11" t="s">
        <v>39</v>
      </c>
      <c r="H83" s="16">
        <v>1</v>
      </c>
      <c r="I83" s="17">
        <v>5000</v>
      </c>
      <c r="J83" s="17">
        <v>5000</v>
      </c>
      <c r="K83" s="18">
        <v>45069</v>
      </c>
      <c r="L83" s="10">
        <f t="shared" si="1"/>
        <v>2023</v>
      </c>
      <c r="M83" s="11" t="s">
        <v>33</v>
      </c>
    </row>
    <row r="84" spans="1:13" x14ac:dyDescent="0.35">
      <c r="A84" s="9" t="s">
        <v>111</v>
      </c>
      <c r="B84" s="9" t="s">
        <v>164</v>
      </c>
      <c r="C84" s="9" t="s">
        <v>207</v>
      </c>
      <c r="D84" s="10" t="str">
        <f>CONCATENATE(Sales_Data!$B84," ",Sales_Data!$C84)</f>
        <v>Chioma Okoro</v>
      </c>
      <c r="E84" s="10" t="s">
        <v>26</v>
      </c>
      <c r="F84" s="9" t="s">
        <v>15</v>
      </c>
      <c r="G84" s="9" t="s">
        <v>53</v>
      </c>
      <c r="H84" s="12">
        <v>3</v>
      </c>
      <c r="I84" s="13">
        <v>60000</v>
      </c>
      <c r="J84" s="13">
        <v>180000</v>
      </c>
      <c r="K84" s="14">
        <v>45624</v>
      </c>
      <c r="L84" s="10">
        <f t="shared" si="1"/>
        <v>2024</v>
      </c>
      <c r="M84" s="9" t="s">
        <v>33</v>
      </c>
    </row>
    <row r="85" spans="1:13" x14ac:dyDescent="0.35">
      <c r="A85" s="11" t="s">
        <v>112</v>
      </c>
      <c r="B85" s="11" t="s">
        <v>208</v>
      </c>
      <c r="C85" s="11" t="s">
        <v>205</v>
      </c>
      <c r="D85" s="15" t="str">
        <f>CONCATENATE(Sales_Data!$B85," ",Sales_Data!$C85)</f>
        <v>Garba Lawal</v>
      </c>
      <c r="E85" s="15" t="s">
        <v>10</v>
      </c>
      <c r="F85" s="11" t="s">
        <v>20</v>
      </c>
      <c r="G85" s="11" t="s">
        <v>21</v>
      </c>
      <c r="H85" s="16">
        <v>9</v>
      </c>
      <c r="I85" s="17">
        <v>1200</v>
      </c>
      <c r="J85" s="17">
        <v>10800</v>
      </c>
      <c r="K85" s="18">
        <v>45421</v>
      </c>
      <c r="L85" s="10">
        <f t="shared" si="1"/>
        <v>2024</v>
      </c>
      <c r="M85" s="11" t="s">
        <v>13</v>
      </c>
    </row>
    <row r="86" spans="1:13" x14ac:dyDescent="0.35">
      <c r="A86" s="9" t="s">
        <v>120</v>
      </c>
      <c r="B86" s="9" t="s">
        <v>209</v>
      </c>
      <c r="C86" s="9" t="s">
        <v>210</v>
      </c>
      <c r="D86" s="10" t="str">
        <f>CONCATENATE(Sales_Data!$B86," ",Sales_Data!$C86)</f>
        <v>Olayinka Adeleke</v>
      </c>
      <c r="E86" s="10" t="s">
        <v>10</v>
      </c>
      <c r="F86" s="9" t="s">
        <v>20</v>
      </c>
      <c r="G86" s="9" t="s">
        <v>21</v>
      </c>
      <c r="H86" s="12">
        <v>8</v>
      </c>
      <c r="I86" s="13">
        <v>1200</v>
      </c>
      <c r="J86" s="13">
        <v>9600</v>
      </c>
      <c r="K86" s="14">
        <v>45444</v>
      </c>
      <c r="L86" s="10">
        <f t="shared" si="1"/>
        <v>2024</v>
      </c>
      <c r="M86" s="9" t="s">
        <v>13</v>
      </c>
    </row>
    <row r="87" spans="1:13" x14ac:dyDescent="0.35">
      <c r="A87" s="11" t="s">
        <v>114</v>
      </c>
      <c r="B87" s="11" t="s">
        <v>211</v>
      </c>
      <c r="C87" s="11" t="s">
        <v>212</v>
      </c>
      <c r="D87" s="15" t="str">
        <f>CONCATENATE(Sales_Data!$B87," ",Sales_Data!$C87)</f>
        <v>Cynthia Feyisayo</v>
      </c>
      <c r="E87" s="15" t="s">
        <v>26</v>
      </c>
      <c r="F87" s="11" t="s">
        <v>11</v>
      </c>
      <c r="G87" s="11" t="s">
        <v>23</v>
      </c>
      <c r="H87" s="16">
        <v>4</v>
      </c>
      <c r="I87" s="17">
        <v>180000</v>
      </c>
      <c r="J87" s="17">
        <v>720000</v>
      </c>
      <c r="K87" s="18">
        <v>45896</v>
      </c>
      <c r="L87" s="10">
        <f t="shared" si="1"/>
        <v>2025</v>
      </c>
      <c r="M87" s="11" t="s">
        <v>33</v>
      </c>
    </row>
    <row r="88" spans="1:13" x14ac:dyDescent="0.35">
      <c r="A88" s="9" t="s">
        <v>56</v>
      </c>
      <c r="B88" s="9" t="s">
        <v>132</v>
      </c>
      <c r="C88" s="9" t="s">
        <v>142</v>
      </c>
      <c r="D88" s="10" t="str">
        <f>CONCATENATE(Sales_Data!$B88," ",Sales_Data!$C88)</f>
        <v>Adekunle Balogun</v>
      </c>
      <c r="E88" s="10" t="s">
        <v>10</v>
      </c>
      <c r="F88" s="9" t="s">
        <v>20</v>
      </c>
      <c r="G88" s="9" t="s">
        <v>21</v>
      </c>
      <c r="H88" s="12">
        <v>4</v>
      </c>
      <c r="I88" s="13">
        <v>1200</v>
      </c>
      <c r="J88" s="13">
        <v>4800</v>
      </c>
      <c r="K88" s="14">
        <v>44957</v>
      </c>
      <c r="L88" s="10">
        <f t="shared" si="1"/>
        <v>2023</v>
      </c>
      <c r="M88" s="9" t="s">
        <v>13</v>
      </c>
    </row>
    <row r="89" spans="1:13" x14ac:dyDescent="0.35">
      <c r="A89" s="11" t="s">
        <v>113</v>
      </c>
      <c r="B89" s="11" t="s">
        <v>213</v>
      </c>
      <c r="C89" s="11" t="s">
        <v>214</v>
      </c>
      <c r="D89" s="15" t="str">
        <f>CONCATENATE(Sales_Data!$B89," ",Sales_Data!$C89)</f>
        <v>Kafayat Olagoke</v>
      </c>
      <c r="E89" s="15" t="s">
        <v>26</v>
      </c>
      <c r="F89" s="11" t="s">
        <v>15</v>
      </c>
      <c r="G89" s="11" t="s">
        <v>53</v>
      </c>
      <c r="H89" s="16">
        <v>9</v>
      </c>
      <c r="I89" s="17">
        <v>60000</v>
      </c>
      <c r="J89" s="17">
        <v>540000</v>
      </c>
      <c r="K89" s="18">
        <v>44962</v>
      </c>
      <c r="L89" s="10">
        <f t="shared" si="1"/>
        <v>2023</v>
      </c>
      <c r="M89" s="11" t="s">
        <v>24</v>
      </c>
    </row>
    <row r="90" spans="1:13" x14ac:dyDescent="0.35">
      <c r="A90" s="9" t="s">
        <v>117</v>
      </c>
      <c r="B90" s="9" t="s">
        <v>150</v>
      </c>
      <c r="C90" s="9" t="s">
        <v>215</v>
      </c>
      <c r="D90" s="10" t="str">
        <f>CONCATENATE(Sales_Data!$B90," ",Sales_Data!$C90)</f>
        <v>Funke Adeyemo</v>
      </c>
      <c r="E90" s="10" t="s">
        <v>26</v>
      </c>
      <c r="F90" s="9" t="s">
        <v>38</v>
      </c>
      <c r="G90" s="9" t="s">
        <v>46</v>
      </c>
      <c r="H90" s="12">
        <v>5</v>
      </c>
      <c r="I90" s="13">
        <v>12000</v>
      </c>
      <c r="J90" s="13">
        <v>60000</v>
      </c>
      <c r="K90" s="14">
        <v>45324</v>
      </c>
      <c r="L90" s="10">
        <f t="shared" si="1"/>
        <v>2024</v>
      </c>
      <c r="M90" s="9" t="s">
        <v>13</v>
      </c>
    </row>
    <row r="91" spans="1:13" x14ac:dyDescent="0.35">
      <c r="A91" s="11" t="s">
        <v>118</v>
      </c>
      <c r="B91" s="11" t="s">
        <v>143</v>
      </c>
      <c r="C91" s="11" t="s">
        <v>216</v>
      </c>
      <c r="D91" s="15" t="str">
        <f>CONCATENATE(Sales_Data!$B91," ",Sales_Data!$C91)</f>
        <v>David Bello</v>
      </c>
      <c r="E91" s="15" t="s">
        <v>10</v>
      </c>
      <c r="F91" s="11" t="s">
        <v>20</v>
      </c>
      <c r="G91" s="11" t="s">
        <v>32</v>
      </c>
      <c r="H91" s="16">
        <v>6</v>
      </c>
      <c r="I91" s="17">
        <v>15000</v>
      </c>
      <c r="J91" s="17">
        <v>90000</v>
      </c>
      <c r="K91" s="18">
        <v>45488</v>
      </c>
      <c r="L91" s="10">
        <f t="shared" si="1"/>
        <v>2024</v>
      </c>
      <c r="M91" s="11" t="s">
        <v>18</v>
      </c>
    </row>
    <row r="92" spans="1:13" x14ac:dyDescent="0.35">
      <c r="A92" s="9" t="s">
        <v>119</v>
      </c>
      <c r="B92" s="9" t="s">
        <v>217</v>
      </c>
      <c r="C92" s="9" t="s">
        <v>218</v>
      </c>
      <c r="D92" s="10" t="str">
        <f>CONCATENATE(Sales_Data!$B92," ",Sales_Data!$C92)</f>
        <v>Shalewa Adegoke</v>
      </c>
      <c r="E92" s="10" t="s">
        <v>26</v>
      </c>
      <c r="F92" s="9" t="s">
        <v>11</v>
      </c>
      <c r="G92" s="9" t="s">
        <v>12</v>
      </c>
      <c r="H92" s="12">
        <v>9</v>
      </c>
      <c r="I92" s="13">
        <v>250000</v>
      </c>
      <c r="J92" s="13">
        <v>2250000</v>
      </c>
      <c r="K92" s="14">
        <v>44952</v>
      </c>
      <c r="L92" s="10">
        <f t="shared" si="1"/>
        <v>2023</v>
      </c>
      <c r="M92" s="9" t="s">
        <v>13</v>
      </c>
    </row>
    <row r="93" spans="1:13" x14ac:dyDescent="0.35">
      <c r="A93" s="11" t="s">
        <v>126</v>
      </c>
      <c r="B93" s="11" t="s">
        <v>219</v>
      </c>
      <c r="C93" s="11" t="s">
        <v>220</v>
      </c>
      <c r="D93" s="15" t="str">
        <f>CONCATENATE(Sales_Data!$B93," ",Sales_Data!$C93)</f>
        <v>Bolaji Oshodi</v>
      </c>
      <c r="E93" s="15" t="s">
        <v>10</v>
      </c>
      <c r="F93" s="11" t="s">
        <v>38</v>
      </c>
      <c r="G93" s="11" t="s">
        <v>46</v>
      </c>
      <c r="H93" s="16">
        <v>5</v>
      </c>
      <c r="I93" s="17">
        <v>12000</v>
      </c>
      <c r="J93" s="17">
        <v>60000</v>
      </c>
      <c r="K93" s="18">
        <v>45332</v>
      </c>
      <c r="L93" s="10">
        <f t="shared" si="1"/>
        <v>2024</v>
      </c>
      <c r="M93" s="11" t="s">
        <v>33</v>
      </c>
    </row>
    <row r="94" spans="1:13" x14ac:dyDescent="0.35">
      <c r="A94" s="9" t="s">
        <v>121</v>
      </c>
      <c r="B94" s="9" t="s">
        <v>221</v>
      </c>
      <c r="C94" s="9" t="s">
        <v>153</v>
      </c>
      <c r="D94" s="10" t="str">
        <f>CONCATENATE(Sales_Data!$B94," ",Sales_Data!$C94)</f>
        <v>Alex Brown</v>
      </c>
      <c r="E94" s="10" t="s">
        <v>10</v>
      </c>
      <c r="F94" s="9" t="s">
        <v>15</v>
      </c>
      <c r="G94" s="9" t="s">
        <v>16</v>
      </c>
      <c r="H94" s="12">
        <v>2</v>
      </c>
      <c r="I94" s="13">
        <v>200000</v>
      </c>
      <c r="J94" s="13">
        <v>400000</v>
      </c>
      <c r="K94" s="14">
        <v>45237</v>
      </c>
      <c r="L94" s="10">
        <f t="shared" si="1"/>
        <v>2023</v>
      </c>
      <c r="M94" s="9" t="s">
        <v>13</v>
      </c>
    </row>
    <row r="95" spans="1:13" x14ac:dyDescent="0.35">
      <c r="A95" s="11" t="s">
        <v>35</v>
      </c>
      <c r="B95" s="11" t="s">
        <v>141</v>
      </c>
      <c r="C95" s="11" t="s">
        <v>146</v>
      </c>
      <c r="D95" s="15" t="str">
        <f>CONCATENATE(Sales_Data!$B95," ",Sales_Data!$C95)</f>
        <v>Fatima Obi</v>
      </c>
      <c r="E95" s="15" t="s">
        <v>26</v>
      </c>
      <c r="F95" s="11" t="s">
        <v>15</v>
      </c>
      <c r="G95" s="11" t="s">
        <v>16</v>
      </c>
      <c r="H95" s="16">
        <v>5</v>
      </c>
      <c r="I95" s="17">
        <v>200000</v>
      </c>
      <c r="J95" s="17">
        <v>1000000</v>
      </c>
      <c r="K95" s="18">
        <v>45744</v>
      </c>
      <c r="L95" s="10">
        <f t="shared" si="1"/>
        <v>2025</v>
      </c>
      <c r="M95" s="11" t="s">
        <v>24</v>
      </c>
    </row>
    <row r="96" spans="1:13" x14ac:dyDescent="0.35">
      <c r="A96" s="9" t="s">
        <v>123</v>
      </c>
      <c r="B96" s="9" t="s">
        <v>164</v>
      </c>
      <c r="C96" s="9" t="s">
        <v>222</v>
      </c>
      <c r="D96" s="10" t="str">
        <f>CONCATENATE(Sales_Data!$B96," ",Sales_Data!$C96)</f>
        <v>Chioma Goodness</v>
      </c>
      <c r="E96" s="10" t="s">
        <v>26</v>
      </c>
      <c r="F96" s="9" t="s">
        <v>15</v>
      </c>
      <c r="G96" s="9" t="s">
        <v>53</v>
      </c>
      <c r="H96" s="12">
        <v>8</v>
      </c>
      <c r="I96" s="13">
        <v>60000</v>
      </c>
      <c r="J96" s="13">
        <v>480000</v>
      </c>
      <c r="K96" s="14">
        <v>45050</v>
      </c>
      <c r="L96" s="10">
        <f t="shared" si="1"/>
        <v>2023</v>
      </c>
      <c r="M96" s="9" t="s">
        <v>33</v>
      </c>
    </row>
    <row r="97" spans="1:18" x14ac:dyDescent="0.35">
      <c r="A97" s="11" t="s">
        <v>9</v>
      </c>
      <c r="B97" s="11" t="s">
        <v>162</v>
      </c>
      <c r="C97" s="11" t="s">
        <v>146</v>
      </c>
      <c r="D97" s="15" t="str">
        <f>CONCATENATE(Sales_Data!$B97," ",Sales_Data!$C97)</f>
        <v>Peter Obi</v>
      </c>
      <c r="E97" s="15" t="s">
        <v>10</v>
      </c>
      <c r="F97" s="11" t="s">
        <v>11</v>
      </c>
      <c r="G97" s="11" t="s">
        <v>12</v>
      </c>
      <c r="H97" s="16">
        <v>5</v>
      </c>
      <c r="I97" s="17">
        <v>250000</v>
      </c>
      <c r="J97" s="17">
        <v>1250000</v>
      </c>
      <c r="K97" s="18">
        <v>45105</v>
      </c>
      <c r="L97" s="10">
        <f t="shared" si="1"/>
        <v>2023</v>
      </c>
      <c r="M97" s="11" t="s">
        <v>13</v>
      </c>
    </row>
    <row r="98" spans="1:18" x14ac:dyDescent="0.35">
      <c r="A98" s="9" t="s">
        <v>125</v>
      </c>
      <c r="B98" s="9" t="s">
        <v>223</v>
      </c>
      <c r="C98" s="9" t="s">
        <v>142</v>
      </c>
      <c r="D98" s="10" t="str">
        <f>CONCATENATE(Sales_Data!$B98," ",Sales_Data!$C98)</f>
        <v>Omolola Balogun</v>
      </c>
      <c r="E98" s="10" t="s">
        <v>26</v>
      </c>
      <c r="F98" s="9" t="s">
        <v>11</v>
      </c>
      <c r="G98" s="9" t="s">
        <v>12</v>
      </c>
      <c r="H98" s="12">
        <v>1</v>
      </c>
      <c r="I98" s="13">
        <v>250000</v>
      </c>
      <c r="J98" s="13">
        <v>250000</v>
      </c>
      <c r="K98" s="14">
        <v>44993</v>
      </c>
      <c r="L98" s="10">
        <f t="shared" si="1"/>
        <v>2023</v>
      </c>
      <c r="M98" s="9" t="s">
        <v>33</v>
      </c>
    </row>
    <row r="99" spans="1:18" x14ac:dyDescent="0.35">
      <c r="A99" s="11" t="s">
        <v>82</v>
      </c>
      <c r="B99" s="11" t="s">
        <v>224</v>
      </c>
      <c r="C99" s="11" t="s">
        <v>216</v>
      </c>
      <c r="D99" s="15" t="str">
        <f>CONCATENATE(Sales_Data!$B99," ",Sales_Data!$C99)</f>
        <v>Kolawole Bello</v>
      </c>
      <c r="E99" s="15" t="s">
        <v>10</v>
      </c>
      <c r="F99" s="11" t="s">
        <v>20</v>
      </c>
      <c r="G99" s="11" t="s">
        <v>21</v>
      </c>
      <c r="H99" s="16">
        <v>6</v>
      </c>
      <c r="I99" s="17">
        <v>1200</v>
      </c>
      <c r="J99" s="17">
        <v>7200</v>
      </c>
      <c r="K99" s="18">
        <v>45788</v>
      </c>
      <c r="L99" s="10">
        <f t="shared" si="1"/>
        <v>2025</v>
      </c>
      <c r="M99" s="11" t="s">
        <v>18</v>
      </c>
    </row>
    <row r="100" spans="1:18" x14ac:dyDescent="0.35">
      <c r="A100" s="9" t="s">
        <v>127</v>
      </c>
      <c r="B100" s="9" t="s">
        <v>225</v>
      </c>
      <c r="C100" s="9" t="s">
        <v>226</v>
      </c>
      <c r="D100" s="10" t="str">
        <f>CONCATENATE(Sales_Data!$B100," ",Sales_Data!$C100)</f>
        <v>Abiodun Famuyiwa</v>
      </c>
      <c r="E100" s="10" t="s">
        <v>26</v>
      </c>
      <c r="F100" s="9" t="s">
        <v>15</v>
      </c>
      <c r="G100" s="9" t="s">
        <v>16</v>
      </c>
      <c r="H100" s="12">
        <v>9</v>
      </c>
      <c r="I100" s="13">
        <v>200000</v>
      </c>
      <c r="J100" s="13">
        <v>1800000</v>
      </c>
      <c r="K100" s="14">
        <v>45073</v>
      </c>
      <c r="L100" s="10">
        <f t="shared" si="1"/>
        <v>2023</v>
      </c>
      <c r="M100" s="9" t="s">
        <v>18</v>
      </c>
    </row>
    <row r="101" spans="1:18" x14ac:dyDescent="0.35">
      <c r="A101" s="11" t="s">
        <v>43</v>
      </c>
      <c r="B101" s="11" t="s">
        <v>139</v>
      </c>
      <c r="C101" s="11" t="s">
        <v>146</v>
      </c>
      <c r="D101" s="15" t="str">
        <f>CONCATENATE(Sales_Data!$B101," ",Sales_Data!$C101)</f>
        <v>Yusuf Obi</v>
      </c>
      <c r="E101" s="15" t="s">
        <v>10</v>
      </c>
      <c r="F101" s="11" t="s">
        <v>11</v>
      </c>
      <c r="G101" s="11" t="s">
        <v>12</v>
      </c>
      <c r="H101" s="16">
        <v>6</v>
      </c>
      <c r="I101" s="17">
        <v>250000</v>
      </c>
      <c r="J101" s="17">
        <v>1500000</v>
      </c>
      <c r="K101" s="18">
        <v>45088</v>
      </c>
      <c r="L101" s="10">
        <f t="shared" si="1"/>
        <v>2023</v>
      </c>
      <c r="M101" s="11" t="s">
        <v>18</v>
      </c>
    </row>
    <row r="102" spans="1:18" x14ac:dyDescent="0.35">
      <c r="A102" s="2"/>
      <c r="B102" s="2"/>
      <c r="C102" s="2"/>
      <c r="F102" s="2"/>
      <c r="G102" s="2"/>
      <c r="H102" s="3"/>
      <c r="I102" s="7"/>
      <c r="J102" s="1"/>
      <c r="K102" s="4"/>
      <c r="M102" s="2"/>
    </row>
    <row r="103" spans="1:18" x14ac:dyDescent="0.35">
      <c r="F103" s="1"/>
      <c r="L103" s="27"/>
      <c r="M103" s="27"/>
      <c r="O103" s="27"/>
      <c r="P103" s="27"/>
      <c r="Q103" s="27"/>
      <c r="R103" s="29"/>
    </row>
    <row r="104" spans="1:18" x14ac:dyDescent="0.35">
      <c r="H104" s="1"/>
      <c r="L104" s="28"/>
      <c r="M104" s="28"/>
      <c r="O104" s="27"/>
      <c r="P104" s="27"/>
      <c r="Q104" s="27"/>
      <c r="R104" s="27"/>
    </row>
    <row r="105" spans="1:18" ht="15.5" x14ac:dyDescent="0.35">
      <c r="B105" s="35" t="s">
        <v>233</v>
      </c>
      <c r="C105" s="35"/>
      <c r="E105" s="35" t="s">
        <v>237</v>
      </c>
      <c r="F105" s="35"/>
      <c r="H105" s="35" t="s">
        <v>240</v>
      </c>
      <c r="I105" s="35"/>
      <c r="L105" s="29"/>
      <c r="M105" s="30"/>
      <c r="O105" s="28"/>
      <c r="P105" s="27"/>
      <c r="Q105" s="27"/>
      <c r="R105" s="29"/>
    </row>
    <row r="106" spans="1:18" ht="15.5" x14ac:dyDescent="0.35">
      <c r="B106" s="38" t="s">
        <v>234</v>
      </c>
      <c r="C106" s="38"/>
      <c r="E106" s="26" t="s">
        <v>238</v>
      </c>
      <c r="F106" s="26" t="s">
        <v>229</v>
      </c>
      <c r="H106" s="37" t="s">
        <v>241</v>
      </c>
      <c r="I106" s="37"/>
      <c r="L106" s="29"/>
      <c r="M106" s="30"/>
      <c r="O106" s="29"/>
      <c r="P106" s="32"/>
      <c r="Q106" s="32"/>
      <c r="R106" s="29"/>
    </row>
    <row r="107" spans="1:18" x14ac:dyDescent="0.35">
      <c r="B107" s="21" t="s">
        <v>38</v>
      </c>
      <c r="C107" s="20">
        <f>SUMIF($F$2:$F$101,F2,$J$2:$J$101)</f>
        <v>1072000</v>
      </c>
      <c r="E107" s="19" t="s">
        <v>16</v>
      </c>
      <c r="F107" s="20">
        <f t="shared" ref="F107:F116" si="2">SUMIF($G$2:$G$101,E107,$J$2:$J$101)</f>
        <v>14600000</v>
      </c>
      <c r="H107" s="21" t="s">
        <v>231</v>
      </c>
      <c r="I107" s="24" t="s">
        <v>242</v>
      </c>
      <c r="J107" s="5"/>
      <c r="L107" s="29"/>
      <c r="M107" s="30"/>
      <c r="O107" s="29"/>
      <c r="P107" s="32"/>
      <c r="Q107" s="32"/>
      <c r="R107" s="29"/>
    </row>
    <row r="108" spans="1:18" x14ac:dyDescent="0.35">
      <c r="B108" s="21" t="s">
        <v>15</v>
      </c>
      <c r="C108" s="20">
        <f>SUMIF($F$2:$F$101,F3,$J$2:$J$101)</f>
        <v>20060000</v>
      </c>
      <c r="E108" s="19" t="s">
        <v>12</v>
      </c>
      <c r="F108" s="20">
        <f t="shared" si="2"/>
        <v>13500000</v>
      </c>
      <c r="H108" s="19" t="s">
        <v>38</v>
      </c>
      <c r="I108" s="31">
        <f>AVERAGEIF($F$2:$F$101,H108,$H$2:$H$101)</f>
        <v>5.8095238095238093</v>
      </c>
      <c r="L108" s="29"/>
      <c r="M108" s="30"/>
      <c r="O108" s="29"/>
      <c r="P108" s="32"/>
      <c r="Q108" s="32"/>
      <c r="R108" s="29"/>
    </row>
    <row r="109" spans="1:18" x14ac:dyDescent="0.35">
      <c r="B109" s="21" t="s">
        <v>11</v>
      </c>
      <c r="C109" s="20">
        <f>SUMIF($F$2:$F$101,F4,$J$2:$J$101)</f>
        <v>21360000</v>
      </c>
      <c r="E109" s="19" t="s">
        <v>23</v>
      </c>
      <c r="F109" s="20">
        <f t="shared" si="2"/>
        <v>6120000</v>
      </c>
      <c r="H109" s="19" t="s">
        <v>15</v>
      </c>
      <c r="I109" s="31">
        <f>AVERAGEIF($F$2:$F$101,H109,$H$2:$H$101)</f>
        <v>5.5925925925925926</v>
      </c>
      <c r="L109" s="29"/>
      <c r="M109" s="30"/>
      <c r="O109" s="29"/>
      <c r="P109" s="32"/>
      <c r="Q109" s="32"/>
      <c r="R109" s="29"/>
    </row>
    <row r="110" spans="1:18" x14ac:dyDescent="0.35">
      <c r="B110" s="21" t="s">
        <v>20</v>
      </c>
      <c r="C110" s="20">
        <f>SUMIF($F$2:$F$101,F5,$J$2:$J$101)</f>
        <v>952200</v>
      </c>
      <c r="E110" s="19" t="s">
        <v>48</v>
      </c>
      <c r="F110" s="20">
        <f t="shared" si="2"/>
        <v>3120000</v>
      </c>
      <c r="H110" s="19" t="s">
        <v>11</v>
      </c>
      <c r="I110" s="31">
        <f>AVERAGEIF($F$2:$F$101,H110,$H$2:$H$101)</f>
        <v>5.615384615384615</v>
      </c>
      <c r="L110" s="29"/>
      <c r="M110" s="30"/>
      <c r="O110" s="29"/>
      <c r="P110" s="29"/>
      <c r="Q110" s="29"/>
      <c r="R110" s="29"/>
    </row>
    <row r="111" spans="1:18" x14ac:dyDescent="0.35">
      <c r="E111" s="19" t="s">
        <v>53</v>
      </c>
      <c r="F111" s="20">
        <f t="shared" si="2"/>
        <v>2340000</v>
      </c>
      <c r="H111" s="19" t="s">
        <v>20</v>
      </c>
      <c r="I111" s="31">
        <f>AVERAGEIF($F$2:$F$101,H111,$H$2:$H$101)</f>
        <v>6.1923076923076925</v>
      </c>
      <c r="L111" s="29"/>
      <c r="M111" s="30"/>
      <c r="O111" s="29"/>
      <c r="P111" s="29"/>
      <c r="Q111" s="29"/>
      <c r="R111" s="29"/>
    </row>
    <row r="112" spans="1:18" ht="15.5" x14ac:dyDescent="0.35">
      <c r="B112" s="39" t="s">
        <v>235</v>
      </c>
      <c r="C112" s="39"/>
      <c r="E112" s="19" t="s">
        <v>28</v>
      </c>
      <c r="F112" s="20">
        <f t="shared" si="2"/>
        <v>1740000</v>
      </c>
      <c r="I112" s="6"/>
      <c r="L112" s="29"/>
      <c r="M112" s="30"/>
    </row>
    <row r="113" spans="2:13" ht="15.5" x14ac:dyDescent="0.35">
      <c r="B113" s="25">
        <v>2023</v>
      </c>
      <c r="C113" s="20">
        <f>SUMIF($L$2:$L$101,B113,$J$2:$J$101)</f>
        <v>20249600</v>
      </c>
      <c r="E113" s="19" t="s">
        <v>32</v>
      </c>
      <c r="F113" s="20">
        <f t="shared" si="2"/>
        <v>825000</v>
      </c>
      <c r="H113" s="35" t="s">
        <v>243</v>
      </c>
      <c r="I113" s="35"/>
      <c r="L113" s="29"/>
      <c r="M113" s="30"/>
    </row>
    <row r="114" spans="2:13" x14ac:dyDescent="0.35">
      <c r="B114" s="25">
        <v>2024</v>
      </c>
      <c r="C114" s="20">
        <f t="shared" ref="C114:C115" si="3">SUMIF($L$2:$L$101,B114,$J$2:$J$101)</f>
        <v>12961000</v>
      </c>
      <c r="E114" s="19" t="s">
        <v>46</v>
      </c>
      <c r="F114" s="20">
        <f t="shared" si="2"/>
        <v>792000</v>
      </c>
      <c r="H114" s="19" t="s">
        <v>10</v>
      </c>
      <c r="I114" s="23">
        <f>COUNTIF($E$2:$E$101,H114)/100</f>
        <v>0.59</v>
      </c>
      <c r="L114" s="29"/>
      <c r="M114" s="30"/>
    </row>
    <row r="115" spans="2:13" x14ac:dyDescent="0.35">
      <c r="B115" s="25">
        <v>2025</v>
      </c>
      <c r="C115" s="20">
        <f t="shared" si="3"/>
        <v>10233600</v>
      </c>
      <c r="E115" s="19" t="s">
        <v>39</v>
      </c>
      <c r="F115" s="20">
        <f t="shared" si="2"/>
        <v>280000</v>
      </c>
      <c r="H115" s="19" t="s">
        <v>26</v>
      </c>
      <c r="I115" s="23">
        <f>COUNTIF($E$2:$E$101,H115)/100</f>
        <v>0.41</v>
      </c>
      <c r="L115" s="29"/>
      <c r="M115" s="30"/>
    </row>
    <row r="116" spans="2:13" x14ac:dyDescent="0.35">
      <c r="E116" s="19" t="s">
        <v>21</v>
      </c>
      <c r="F116" s="20">
        <f t="shared" si="2"/>
        <v>127200</v>
      </c>
      <c r="L116" s="27"/>
      <c r="M116" s="27"/>
    </row>
    <row r="117" spans="2:13" ht="15.5" x14ac:dyDescent="0.35">
      <c r="B117" s="34" t="s">
        <v>236</v>
      </c>
      <c r="C117" s="34"/>
      <c r="L117" s="29"/>
      <c r="M117" s="29"/>
    </row>
    <row r="118" spans="2:13" ht="15.5" x14ac:dyDescent="0.35">
      <c r="B118" s="21" t="s">
        <v>18</v>
      </c>
      <c r="C118" s="22">
        <f>SUMIF($M$2:$M$101,B118,$J$2:$J$101)</f>
        <v>12857600</v>
      </c>
      <c r="E118" s="36" t="s">
        <v>239</v>
      </c>
      <c r="F118" s="36"/>
      <c r="H118" s="33"/>
      <c r="I118" s="33"/>
      <c r="J118" s="33"/>
      <c r="K118" s="33"/>
      <c r="L118" s="29"/>
      <c r="M118" s="29"/>
    </row>
    <row r="119" spans="2:13" x14ac:dyDescent="0.35">
      <c r="B119" s="21" t="s">
        <v>24</v>
      </c>
      <c r="C119" s="22">
        <f t="shared" ref="C119:C121" si="4">SUMIF($M$2:$M$101,B119,$J$2:$J$101)</f>
        <v>10414600</v>
      </c>
      <c r="E119" s="19" t="s">
        <v>21</v>
      </c>
      <c r="F119" s="19">
        <f t="shared" ref="F119:F128" si="5">SUMIF($G$2:$G$101,E119,$H$2:$H$101)</f>
        <v>106</v>
      </c>
      <c r="H119" s="33"/>
      <c r="I119" s="33"/>
      <c r="J119" s="33"/>
      <c r="K119" s="33"/>
      <c r="L119" s="29"/>
      <c r="M119" s="29"/>
    </row>
    <row r="120" spans="2:13" x14ac:dyDescent="0.35">
      <c r="B120" s="21" t="s">
        <v>13</v>
      </c>
      <c r="C120" s="22">
        <f t="shared" si="4"/>
        <v>12281800</v>
      </c>
      <c r="E120" s="19" t="s">
        <v>16</v>
      </c>
      <c r="F120" s="19">
        <f t="shared" si="5"/>
        <v>73</v>
      </c>
      <c r="H120" s="33"/>
      <c r="I120" s="33"/>
      <c r="J120" s="33"/>
      <c r="K120" s="33"/>
      <c r="L120" s="29"/>
      <c r="M120" s="29"/>
    </row>
    <row r="121" spans="2:13" x14ac:dyDescent="0.35">
      <c r="B121" s="21" t="s">
        <v>33</v>
      </c>
      <c r="C121" s="22">
        <f t="shared" si="4"/>
        <v>7890200</v>
      </c>
      <c r="E121" s="19" t="s">
        <v>46</v>
      </c>
      <c r="F121" s="19">
        <f t="shared" si="5"/>
        <v>66</v>
      </c>
      <c r="H121" s="33"/>
      <c r="I121" s="33"/>
      <c r="J121" s="33"/>
      <c r="K121" s="33"/>
      <c r="L121" s="29"/>
      <c r="M121" s="29"/>
    </row>
    <row r="122" spans="2:13" x14ac:dyDescent="0.35">
      <c r="E122" s="19" t="s">
        <v>28</v>
      </c>
      <c r="F122" s="19">
        <f t="shared" si="5"/>
        <v>58</v>
      </c>
      <c r="H122" s="33"/>
      <c r="I122" s="33"/>
      <c r="J122" s="33"/>
      <c r="K122" s="33"/>
      <c r="L122" s="29"/>
      <c r="M122" s="29"/>
    </row>
    <row r="123" spans="2:13" x14ac:dyDescent="0.35">
      <c r="E123" s="19" t="s">
        <v>39</v>
      </c>
      <c r="F123" s="19">
        <f t="shared" si="5"/>
        <v>56</v>
      </c>
      <c r="L123" s="29"/>
      <c r="M123" s="29"/>
    </row>
    <row r="124" spans="2:13" x14ac:dyDescent="0.35">
      <c r="E124" s="19" t="s">
        <v>32</v>
      </c>
      <c r="F124" s="19">
        <f t="shared" si="5"/>
        <v>55</v>
      </c>
      <c r="L124" s="29"/>
      <c r="M124" s="29"/>
    </row>
    <row r="125" spans="2:13" x14ac:dyDescent="0.35">
      <c r="E125" s="19" t="s">
        <v>12</v>
      </c>
      <c r="F125" s="19">
        <f t="shared" si="5"/>
        <v>54</v>
      </c>
      <c r="L125" s="29"/>
      <c r="M125" s="29"/>
    </row>
    <row r="126" spans="2:13" x14ac:dyDescent="0.35">
      <c r="E126" s="19" t="s">
        <v>53</v>
      </c>
      <c r="F126" s="19">
        <f t="shared" si="5"/>
        <v>39</v>
      </c>
      <c r="L126" s="29"/>
      <c r="M126" s="29"/>
    </row>
    <row r="127" spans="2:13" x14ac:dyDescent="0.35">
      <c r="E127" s="19" t="s">
        <v>48</v>
      </c>
      <c r="F127" s="19">
        <f t="shared" si="5"/>
        <v>39</v>
      </c>
      <c r="L127" s="29"/>
      <c r="M127" s="29"/>
    </row>
    <row r="128" spans="2:13" x14ac:dyDescent="0.35">
      <c r="E128" s="19" t="s">
        <v>23</v>
      </c>
      <c r="F128" s="19">
        <f t="shared" si="5"/>
        <v>34</v>
      </c>
      <c r="L128" s="29"/>
      <c r="M128" s="29"/>
    </row>
  </sheetData>
  <mergeCells count="9">
    <mergeCell ref="B117:C117"/>
    <mergeCell ref="E105:F105"/>
    <mergeCell ref="E118:F118"/>
    <mergeCell ref="H105:I105"/>
    <mergeCell ref="H106:I106"/>
    <mergeCell ref="H113:I113"/>
    <mergeCell ref="B105:C105"/>
    <mergeCell ref="B106:C106"/>
    <mergeCell ref="B112:C112"/>
  </mergeCells>
  <conditionalFormatting sqref="L105:M114 L116:L12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{1E14755B-B490-473E-AE87-1A1D67510F39}</x14:id>
        </ext>
      </extLst>
    </cfRule>
  </conditionalFormatting>
  <conditionalFormatting sqref="L117:M1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{B06B5C02-5DD0-476C-A299-723082B41AE0}</x14:id>
        </ext>
      </extLst>
    </cfRule>
  </conditionalFormatting>
  <conditionalFormatting sqref="E119:F12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{0CE4CB3E-537F-41A3-80D8-29AA92B771B4}</x14:id>
        </ext>
      </extLst>
    </cfRule>
  </conditionalFormatting>
  <conditionalFormatting sqref="E118:E12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{66864D14-C6E0-4E57-83F2-BBA93655C029}</x14:id>
        </ext>
      </extLst>
    </cfRule>
  </conditionalFormatting>
  <conditionalFormatting sqref="E107:F1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{B96BF348-DC73-4D0D-A768-C1D2CAA2E58B}</x14:id>
        </ext>
      </extLst>
    </cfRule>
  </conditionalFormatting>
  <conditionalFormatting sqref="I114:I1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9:F12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{71B6C9BB-8C6F-4F2B-A349-A2563FB4344A}</x14:id>
        </ext>
      </extLst>
    </cfRule>
  </conditionalFormatting>
  <conditionalFormatting sqref="C107:C1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{BC1FF0CB-70D3-4932-95E2-FD278D472819}</x14:id>
        </ext>
      </extLst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14755B-B490-473E-AE87-1A1D67510F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L105:M114 L116:L126</xm:sqref>
        </x14:conditionalFormatting>
        <x14:conditionalFormatting xmlns:xm="http://schemas.microsoft.com/office/excel/2006/main">
          <x14:cfRule type="dataBar" id="{B06B5C02-5DD0-476C-A299-723082B41A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L117:M126</xm:sqref>
        </x14:conditionalFormatting>
        <x14:conditionalFormatting xmlns:xm="http://schemas.microsoft.com/office/excel/2006/main">
          <x14:cfRule type="dataBar" id="{0CE4CB3E-537F-41A3-80D8-29AA92B771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E119:F128</xm:sqref>
        </x14:conditionalFormatting>
        <x14:conditionalFormatting xmlns:xm="http://schemas.microsoft.com/office/excel/2006/main">
          <x14:cfRule type="dataBar" id="{66864D14-C6E0-4E57-83F2-BBA93655C0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E118:E128</xm:sqref>
        </x14:conditionalFormatting>
        <x14:conditionalFormatting xmlns:xm="http://schemas.microsoft.com/office/excel/2006/main">
          <x14:cfRule type="dataBar" id="{B96BF348-DC73-4D0D-A768-C1D2CAA2E5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E107:F116</xm:sqref>
        </x14:conditionalFormatting>
        <x14:conditionalFormatting xmlns:xm="http://schemas.microsoft.com/office/excel/2006/main">
          <x14:cfRule type="dataBar" id="{71B6C9BB-8C6F-4F2B-A349-A2563FB434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F119:F128</xm:sqref>
        </x14:conditionalFormatting>
        <x14:conditionalFormatting xmlns:xm="http://schemas.microsoft.com/office/excel/2006/main">
          <x14:cfRule type="dataBar" id="{BC1FF0CB-70D3-4932-95E2-FD278D4728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C107:C110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F438D-9F75-400F-89D0-47D9D7700CDA}">
  <dimension ref="A1:D30"/>
  <sheetViews>
    <sheetView zoomScaleNormal="100" workbookViewId="0">
      <selection activeCell="F9" sqref="F9"/>
    </sheetView>
  </sheetViews>
  <sheetFormatPr defaultRowHeight="14.5" x14ac:dyDescent="0.35"/>
  <cols>
    <col min="1" max="1" width="15.81640625" bestFit="1" customWidth="1"/>
    <col min="2" max="2" width="17.08984375" bestFit="1" customWidth="1"/>
    <col min="3" max="3" width="9.26953125" bestFit="1" customWidth="1"/>
    <col min="4" max="4" width="12.08984375" bestFit="1" customWidth="1"/>
    <col min="6" max="6" width="17.08984375" bestFit="1" customWidth="1"/>
    <col min="8" max="8" width="17.08984375" bestFit="1" customWidth="1"/>
    <col min="12" max="12" width="13.453125" bestFit="1" customWidth="1"/>
    <col min="13" max="13" width="16" bestFit="1" customWidth="1"/>
    <col min="14" max="14" width="9.453125" bestFit="1" customWidth="1"/>
  </cols>
  <sheetData>
    <row r="1" spans="1:4" x14ac:dyDescent="0.35">
      <c r="A1" t="s">
        <v>0</v>
      </c>
      <c r="B1" t="s">
        <v>228</v>
      </c>
      <c r="C1" t="s">
        <v>1</v>
      </c>
      <c r="D1" t="s">
        <v>8</v>
      </c>
    </row>
    <row r="2" spans="1:4" x14ac:dyDescent="0.35">
      <c r="A2" s="19" t="s">
        <v>30</v>
      </c>
      <c r="B2" s="19" t="str">
        <f>VLOOKUP(Product_Lookup!A2,Sales_Data!$A$2:$M$101,4,)</f>
        <v>Emeka Obi</v>
      </c>
      <c r="C2" s="19" t="str">
        <f>_xlfn.XLOOKUP(B2,Sales_Data!$D$2:$D$101,Sales_Data!$E$2:$E$101)</f>
        <v>Male</v>
      </c>
      <c r="D2" s="19" t="str">
        <f>_xlfn.XLOOKUP(B2,Sales_Data!$D$2:$D$101,Sales_Data!$M$2:$M$101)</f>
        <v>Kano</v>
      </c>
    </row>
    <row r="3" spans="1:4" x14ac:dyDescent="0.35">
      <c r="A3" s="19" t="s">
        <v>19</v>
      </c>
      <c r="B3" s="19" t="str">
        <f>VLOOKUP(Product_Lookup!A3,Sales_Data!$A$2:$M$101,4,)</f>
        <v>Linda Adams</v>
      </c>
      <c r="C3" s="19" t="str">
        <f>_xlfn.XLOOKUP(B3,Sales_Data!$D$2:$D$101,Sales_Data!$E$2:$E$101)</f>
        <v>Female</v>
      </c>
      <c r="D3" s="19" t="str">
        <f>_xlfn.XLOOKUP(B3,Sales_Data!$D$2:$D$101,Sales_Data!$M$2:$M$101)</f>
        <v>Lagos</v>
      </c>
    </row>
    <row r="4" spans="1:4" x14ac:dyDescent="0.35">
      <c r="A4" s="19" t="s">
        <v>27</v>
      </c>
      <c r="B4" s="19" t="str">
        <f>VLOOKUP(Product_Lookup!A4,Sales_Data!$A$2:$M$101,4,)</f>
        <v>Yusuf Olawale</v>
      </c>
      <c r="C4" s="19" t="str">
        <f>_xlfn.XLOOKUP(B4,Sales_Data!$D$2:$D$101,Sales_Data!$E$2:$E$101)</f>
        <v>Male</v>
      </c>
      <c r="D4" s="19" t="str">
        <f>_xlfn.XLOOKUP(B4,Sales_Data!$D$2:$D$101,Sales_Data!$M$2:$M$101)</f>
        <v>Lagos</v>
      </c>
    </row>
    <row r="5" spans="1:4" x14ac:dyDescent="0.35">
      <c r="A5" s="19" t="s">
        <v>95</v>
      </c>
      <c r="B5" s="19" t="str">
        <f>VLOOKUP(Product_Lookup!A5,Sales_Data!$A$2:$M$101,4,)</f>
        <v>Sandra Okafor</v>
      </c>
      <c r="C5" s="19" t="str">
        <f>_xlfn.XLOOKUP(B5,Sales_Data!$D$2:$D$101,Sales_Data!$E$2:$E$101)</f>
        <v>Female</v>
      </c>
      <c r="D5" s="19" t="str">
        <f>_xlfn.XLOOKUP(B5,Sales_Data!$D$2:$D$101,Sales_Data!$M$2:$M$101)</f>
        <v>Lagos</v>
      </c>
    </row>
    <row r="6" spans="1:4" x14ac:dyDescent="0.35">
      <c r="A6" s="19" t="s">
        <v>31</v>
      </c>
      <c r="B6" s="19" t="str">
        <f>VLOOKUP(Product_Lookup!A6,Sales_Data!$A$2:$M$101,4,)</f>
        <v>Mary Obi</v>
      </c>
      <c r="C6" s="19" t="str">
        <f>_xlfn.XLOOKUP(B6,Sales_Data!$D$2:$D$101,Sales_Data!$E$2:$E$101)</f>
        <v>Male</v>
      </c>
      <c r="D6" s="19" t="str">
        <f>_xlfn.XLOOKUP(B6,Sales_Data!$D$2:$D$101,Sales_Data!$M$2:$M$101)</f>
        <v>Port Harcourt</v>
      </c>
    </row>
    <row r="7" spans="1:4" x14ac:dyDescent="0.35">
      <c r="A7" s="19" t="s">
        <v>73</v>
      </c>
      <c r="B7" s="19" t="str">
        <f>VLOOKUP(Product_Lookup!A7,Sales_Data!$A$2:$M$101,4,)</f>
        <v>Ferdinand Obi</v>
      </c>
      <c r="C7" s="19" t="str">
        <f>_xlfn.XLOOKUP(B7,Sales_Data!$D$2:$D$101,Sales_Data!$E$2:$E$101)</f>
        <v>Male</v>
      </c>
      <c r="D7" s="19" t="str">
        <f>_xlfn.XLOOKUP(B7,Sales_Data!$D$2:$D$101,Sales_Data!$M$2:$M$101)</f>
        <v>Abuja</v>
      </c>
    </row>
    <row r="8" spans="1:4" x14ac:dyDescent="0.35">
      <c r="A8" s="19" t="s">
        <v>82</v>
      </c>
      <c r="B8" s="19" t="str">
        <f>VLOOKUP(Product_Lookup!A8,Sales_Data!$A$2:$M$101,4,)</f>
        <v>Kolawole Bello</v>
      </c>
      <c r="C8" s="19" t="str">
        <f>_xlfn.XLOOKUP(B8,Sales_Data!$D$2:$D$101,Sales_Data!$E$2:$E$101)</f>
        <v>Male</v>
      </c>
      <c r="D8" s="19" t="str">
        <f>_xlfn.XLOOKUP(B8,Sales_Data!$D$2:$D$101,Sales_Data!$M$2:$M$101)</f>
        <v>Abuja</v>
      </c>
    </row>
    <row r="9" spans="1:4" x14ac:dyDescent="0.35">
      <c r="A9" s="19" t="s">
        <v>84</v>
      </c>
      <c r="B9" s="19" t="str">
        <f>VLOOKUP(Product_Lookup!A9,Sales_Data!$A$2:$M$101,4,)</f>
        <v>Zainab Ibrahim</v>
      </c>
      <c r="C9" s="19" t="str">
        <f>_xlfn.XLOOKUP(B9,Sales_Data!$D$2:$D$101,Sales_Data!$E$2:$E$101)</f>
        <v>Female</v>
      </c>
      <c r="D9" s="19" t="str">
        <f>_xlfn.XLOOKUP(B9,Sales_Data!$D$2:$D$101,Sales_Data!$M$2:$M$101)</f>
        <v>Kano</v>
      </c>
    </row>
    <row r="10" spans="1:4" x14ac:dyDescent="0.35">
      <c r="A10" s="19" t="s">
        <v>114</v>
      </c>
      <c r="B10" s="19" t="str">
        <f>VLOOKUP(Product_Lookup!A10,Sales_Data!$A$2:$M$101,4,)</f>
        <v>Cynthia Feyisayo</v>
      </c>
      <c r="C10" s="19" t="str">
        <f>_xlfn.XLOOKUP(B10,Sales_Data!$D$2:$D$101,Sales_Data!$E$2:$E$101)</f>
        <v>Female</v>
      </c>
      <c r="D10" s="19" t="str">
        <f>_xlfn.XLOOKUP(B10,Sales_Data!$D$2:$D$101,Sales_Data!$M$2:$M$101)</f>
        <v>Port Harcourt</v>
      </c>
    </row>
    <row r="11" spans="1:4" x14ac:dyDescent="0.35">
      <c r="A11" s="19" t="s">
        <v>44</v>
      </c>
      <c r="B11" s="19" t="str">
        <f>VLOOKUP(Product_Lookup!A11,Sales_Data!$A$2:$M$101,4,)</f>
        <v>Adekunle Ike</v>
      </c>
      <c r="C11" s="19" t="str">
        <f>_xlfn.XLOOKUP(B11,Sales_Data!$D$2:$D$101,Sales_Data!$E$2:$E$101)</f>
        <v>Male</v>
      </c>
      <c r="D11" s="19" t="str">
        <f>_xlfn.XLOOKUP(B11,Sales_Data!$D$2:$D$101,Sales_Data!$M$2:$M$101)</f>
        <v>Abuja</v>
      </c>
    </row>
    <row r="12" spans="1:4" x14ac:dyDescent="0.35">
      <c r="A12" s="19" t="s">
        <v>60</v>
      </c>
      <c r="B12" s="19" t="str">
        <f>VLOOKUP(Product_Lookup!A12,Sales_Data!$A$2:$M$101,4,)</f>
        <v>Mary Adams</v>
      </c>
      <c r="C12" s="19" t="str">
        <f>_xlfn.XLOOKUP(B12,Sales_Data!$D$2:$D$101,Sales_Data!$E$2:$E$101)</f>
        <v>Female</v>
      </c>
      <c r="D12" s="19" t="str">
        <f>_xlfn.XLOOKUP(B12,Sales_Data!$D$2:$D$101,Sales_Data!$M$2:$M$101)</f>
        <v>Lagos</v>
      </c>
    </row>
    <row r="13" spans="1:4" x14ac:dyDescent="0.35">
      <c r="A13" s="19" t="s">
        <v>81</v>
      </c>
      <c r="B13" s="19" t="str">
        <f>VLOOKUP(Product_Lookup!A13,Sales_Data!$A$2:$M$101,4,)</f>
        <v>Oluwaseun Adams</v>
      </c>
      <c r="C13" s="19" t="str">
        <f>_xlfn.XLOOKUP(B13,Sales_Data!$D$2:$D$101,Sales_Data!$E$2:$E$101)</f>
        <v>Male</v>
      </c>
      <c r="D13" s="19" t="str">
        <f>_xlfn.XLOOKUP(B13,Sales_Data!$D$2:$D$101,Sales_Data!$M$2:$M$101)</f>
        <v>Port Harcourt</v>
      </c>
    </row>
    <row r="14" spans="1:4" x14ac:dyDescent="0.35">
      <c r="A14" s="19" t="s">
        <v>122</v>
      </c>
      <c r="B14" s="19" t="str">
        <f>VLOOKUP(Product_Lookup!A14,Sales_Data!$A$2:$M$101,4,)</f>
        <v>Olatoke Olorunleke</v>
      </c>
      <c r="C14" s="19" t="str">
        <f>_xlfn.XLOOKUP(B14,Sales_Data!$D$2:$D$101,Sales_Data!$E$2:$E$101)</f>
        <v>Female</v>
      </c>
      <c r="D14" s="19" t="str">
        <f>_xlfn.XLOOKUP(B14,Sales_Data!$D$2:$D$101,Sales_Data!$M$2:$M$101)</f>
        <v>Abuja</v>
      </c>
    </row>
    <row r="15" spans="1:4" x14ac:dyDescent="0.35">
      <c r="A15" s="19" t="s">
        <v>117</v>
      </c>
      <c r="B15" s="19" t="str">
        <f>VLOOKUP(Product_Lookup!A15,Sales_Data!$A$2:$M$101,4,)</f>
        <v>Funke Adeyemo</v>
      </c>
      <c r="C15" s="19" t="str">
        <f>_xlfn.XLOOKUP(B15,Sales_Data!$D$2:$D$101,Sales_Data!$E$2:$E$101)</f>
        <v>Female</v>
      </c>
      <c r="D15" s="19" t="str">
        <f>_xlfn.XLOOKUP(B15,Sales_Data!$D$2:$D$101,Sales_Data!$M$2:$M$101)</f>
        <v>Lagos</v>
      </c>
    </row>
    <row r="16" spans="1:4" x14ac:dyDescent="0.35">
      <c r="A16" s="19" t="s">
        <v>120</v>
      </c>
      <c r="B16" s="19" t="str">
        <f>VLOOKUP(Product_Lookup!A16,Sales_Data!$A$2:$M$101,4,)</f>
        <v>Olayinka Adeleke</v>
      </c>
      <c r="C16" s="19" t="str">
        <f>_xlfn.XLOOKUP(B16,Sales_Data!$D$2:$D$101,Sales_Data!$E$2:$E$101)</f>
        <v>Male</v>
      </c>
      <c r="D16" s="19" t="str">
        <f>_xlfn.XLOOKUP(B16,Sales_Data!$D$2:$D$101,Sales_Data!$M$2:$M$101)</f>
        <v>Lagos</v>
      </c>
    </row>
    <row r="17" spans="1:4" x14ac:dyDescent="0.35">
      <c r="A17" s="19" t="s">
        <v>99</v>
      </c>
      <c r="B17" s="19" t="str">
        <f>VLOOKUP(Product_Lookup!A17,Sales_Data!$A$2:$M$101,4,)</f>
        <v>Fatima Balogun</v>
      </c>
      <c r="C17" s="19" t="str">
        <f>_xlfn.XLOOKUP(B17,Sales_Data!$D$2:$D$101,Sales_Data!$E$2:$E$101)</f>
        <v>Female</v>
      </c>
      <c r="D17" s="19" t="str">
        <f>_xlfn.XLOOKUP(B17,Sales_Data!$D$2:$D$101,Sales_Data!$M$2:$M$101)</f>
        <v>Lagos</v>
      </c>
    </row>
    <row r="18" spans="1:4" x14ac:dyDescent="0.35">
      <c r="A18" s="19" t="s">
        <v>65</v>
      </c>
      <c r="B18" s="19" t="str">
        <f>VLOOKUP(Product_Lookup!A18,Sales_Data!$A$2:$M$101,4,)</f>
        <v>Ibrahim Olawale</v>
      </c>
      <c r="C18" s="19" t="str">
        <f>_xlfn.XLOOKUP(B18,Sales_Data!$D$2:$D$101,Sales_Data!$E$2:$E$101)</f>
        <v>Male</v>
      </c>
      <c r="D18" s="19" t="str">
        <f>_xlfn.XLOOKUP(B18,Sales_Data!$D$2:$D$101,Sales_Data!$M$2:$M$101)</f>
        <v>Port Harcourt</v>
      </c>
    </row>
    <row r="19" spans="1:4" x14ac:dyDescent="0.35">
      <c r="A19" s="19" t="s">
        <v>41</v>
      </c>
      <c r="B19" s="19" t="str">
        <f>VLOOKUP(Product_Lookup!A19,Sales_Data!$A$2:$M$101,4,)</f>
        <v>John Eze</v>
      </c>
      <c r="C19" s="19" t="str">
        <f>_xlfn.XLOOKUP(B19,Sales_Data!$D$2:$D$101,Sales_Data!$E$2:$E$101)</f>
        <v>Male</v>
      </c>
      <c r="D19" s="19" t="str">
        <f>_xlfn.XLOOKUP(B19,Sales_Data!$D$2:$D$101,Sales_Data!$M$2:$M$101)</f>
        <v>Lagos</v>
      </c>
    </row>
    <row r="20" spans="1:4" x14ac:dyDescent="0.35">
      <c r="A20" s="19" t="s">
        <v>115</v>
      </c>
      <c r="B20" s="19" t="str">
        <f>VLOOKUP(Product_Lookup!A20,Sales_Data!$A$2:$M$101,4,)</f>
        <v>Grace Adekunle</v>
      </c>
      <c r="C20" s="19" t="str">
        <f>_xlfn.XLOOKUP(B20,Sales_Data!$D$2:$D$101,Sales_Data!$E$2:$E$101)</f>
        <v>Female</v>
      </c>
      <c r="D20" s="19" t="str">
        <f>_xlfn.XLOOKUP(B20,Sales_Data!$D$2:$D$101,Sales_Data!$M$2:$M$101)</f>
        <v>Port Harcourt</v>
      </c>
    </row>
    <row r="21" spans="1:4" x14ac:dyDescent="0.35">
      <c r="A21" s="19" t="s">
        <v>125</v>
      </c>
      <c r="B21" s="19" t="str">
        <f>VLOOKUP(Product_Lookup!A21,Sales_Data!$A$2:$M$101,4,)</f>
        <v>Omolola Balogun</v>
      </c>
      <c r="C21" s="19" t="str">
        <f>_xlfn.XLOOKUP(B21,Sales_Data!$D$2:$D$101,Sales_Data!$E$2:$E$101)</f>
        <v>Female</v>
      </c>
      <c r="D21" s="19" t="str">
        <f>_xlfn.XLOOKUP(B21,Sales_Data!$D$2:$D$101,Sales_Data!$M$2:$M$101)</f>
        <v>Port Harcourt</v>
      </c>
    </row>
    <row r="22" spans="1:4" x14ac:dyDescent="0.35">
      <c r="A22" s="19" t="s">
        <v>76</v>
      </c>
      <c r="B22" s="19" t="str">
        <f>VLOOKUP(Product_Lookup!A22,Sales_Data!$A$2:$M$101,4,)</f>
        <v>Linda Johnson</v>
      </c>
      <c r="C22" s="19" t="str">
        <f>_xlfn.XLOOKUP(B22,Sales_Data!$D$2:$D$101,Sales_Data!$E$2:$E$101)</f>
        <v>Female</v>
      </c>
      <c r="D22" s="19" t="str">
        <f>_xlfn.XLOOKUP(B22,Sales_Data!$D$2:$D$101,Sales_Data!$M$2:$M$101)</f>
        <v>Port Harcourt</v>
      </c>
    </row>
    <row r="23" spans="1:4" x14ac:dyDescent="0.35">
      <c r="A23" s="19" t="s">
        <v>50</v>
      </c>
      <c r="B23" s="19" t="str">
        <f>VLOOKUP(Product_Lookup!A23,Sales_Data!$A$2:$M$101,4,)</f>
        <v>Peter Olawale</v>
      </c>
      <c r="C23" s="19" t="str">
        <f>_xlfn.XLOOKUP(B23,Sales_Data!$D$2:$D$101,Sales_Data!$E$2:$E$101)</f>
        <v>Male</v>
      </c>
      <c r="D23" s="19" t="str">
        <f>_xlfn.XLOOKUP(B23,Sales_Data!$D$2:$D$101,Sales_Data!$M$2:$M$101)</f>
        <v>Port Harcourt</v>
      </c>
    </row>
    <row r="24" spans="1:4" x14ac:dyDescent="0.35">
      <c r="A24" s="19" t="s">
        <v>70</v>
      </c>
      <c r="B24" s="19" t="str">
        <f>VLOOKUP(Product_Lookup!A24,Sales_Data!$A$2:$M$101,4,)</f>
        <v>Emeka Okafor</v>
      </c>
      <c r="C24" s="19" t="str">
        <f>_xlfn.XLOOKUP(B24,Sales_Data!$D$2:$D$101,Sales_Data!$E$2:$E$101)</f>
        <v>Male</v>
      </c>
      <c r="D24" s="19" t="str">
        <f>_xlfn.XLOOKUP(B24,Sales_Data!$D$2:$D$101,Sales_Data!$M$2:$M$101)</f>
        <v>Lagos</v>
      </c>
    </row>
    <row r="25" spans="1:4" x14ac:dyDescent="0.35">
      <c r="A25" s="19" t="s">
        <v>74</v>
      </c>
      <c r="B25" s="19" t="str">
        <f>VLOOKUP(Product_Lookup!A25,Sales_Data!$A$2:$M$101,4,)</f>
        <v>Sharon Okonkwo</v>
      </c>
      <c r="C25" s="19" t="str">
        <f>_xlfn.XLOOKUP(B25,Sales_Data!$D$2:$D$101,Sales_Data!$E$2:$E$101)</f>
        <v>Female</v>
      </c>
      <c r="D25" s="19" t="str">
        <f>_xlfn.XLOOKUP(B25,Sales_Data!$D$2:$D$101,Sales_Data!$M$2:$M$101)</f>
        <v>Abuja</v>
      </c>
    </row>
    <row r="26" spans="1:4" x14ac:dyDescent="0.35">
      <c r="A26" s="19" t="s">
        <v>77</v>
      </c>
      <c r="B26" s="19" t="str">
        <f>VLOOKUP(Product_Lookup!A26,Sales_Data!$A$2:$M$101,4,)</f>
        <v>Sade Ike</v>
      </c>
      <c r="C26" s="19" t="str">
        <f>_xlfn.XLOOKUP(B26,Sales_Data!$D$2:$D$101,Sales_Data!$E$2:$E$101)</f>
        <v>Female</v>
      </c>
      <c r="D26" s="19" t="str">
        <f>_xlfn.XLOOKUP(B26,Sales_Data!$D$2:$D$101,Sales_Data!$M$2:$M$101)</f>
        <v>Lagos</v>
      </c>
    </row>
    <row r="27" spans="1:4" x14ac:dyDescent="0.35">
      <c r="A27" s="19" t="s">
        <v>69</v>
      </c>
      <c r="B27" s="19" t="str">
        <f>VLOOKUP(Product_Lookup!A27,Sales_Data!$A$2:$M$101,4,)</f>
        <v>Joseph Smith</v>
      </c>
      <c r="C27" s="19" t="str">
        <f>_xlfn.XLOOKUP(B27,Sales_Data!$D$2:$D$101,Sales_Data!$E$2:$E$101)</f>
        <v>Male</v>
      </c>
      <c r="D27" s="19" t="str">
        <f>_xlfn.XLOOKUP(B27,Sales_Data!$D$2:$D$101,Sales_Data!$M$2:$M$101)</f>
        <v>Port Harcourt</v>
      </c>
    </row>
    <row r="28" spans="1:4" x14ac:dyDescent="0.35">
      <c r="A28" s="19" t="s">
        <v>63</v>
      </c>
      <c r="B28" s="19" t="str">
        <f>VLOOKUP(Product_Lookup!A28,Sales_Data!$A$2:$M$101,4,)</f>
        <v>Grace Obi</v>
      </c>
      <c r="C28" s="19" t="str">
        <f>_xlfn.XLOOKUP(B28,Sales_Data!$D$2:$D$101,Sales_Data!$E$2:$E$101)</f>
        <v>Female</v>
      </c>
      <c r="D28" s="19" t="str">
        <f>_xlfn.XLOOKUP(B28,Sales_Data!$D$2:$D$101,Sales_Data!$M$2:$M$101)</f>
        <v>Kano</v>
      </c>
    </row>
    <row r="29" spans="1:4" x14ac:dyDescent="0.35">
      <c r="A29" s="19" t="s">
        <v>121</v>
      </c>
      <c r="B29" s="19" t="str">
        <f>VLOOKUP(Product_Lookup!A29,Sales_Data!$A$2:$M$101,4,)</f>
        <v>Alex Brown</v>
      </c>
      <c r="C29" s="19" t="str">
        <f>_xlfn.XLOOKUP(B29,Sales_Data!$D$2:$D$101,Sales_Data!$E$2:$E$101)</f>
        <v>Male</v>
      </c>
      <c r="D29" s="19" t="str">
        <f>_xlfn.XLOOKUP(B29,Sales_Data!$D$2:$D$101,Sales_Data!$M$2:$M$101)</f>
        <v>Lagos</v>
      </c>
    </row>
    <row r="30" spans="1:4" x14ac:dyDescent="0.35">
      <c r="A30" s="19" t="s">
        <v>124</v>
      </c>
      <c r="B30" s="19" t="str">
        <f>VLOOKUP(Product_Lookup!A30,Sales_Data!$A$2:$M$101,4,)</f>
        <v>Olawale Yekini</v>
      </c>
      <c r="C30" s="19" t="str">
        <f>_xlfn.XLOOKUP(B30,Sales_Data!$D$2:$D$101,Sales_Data!$E$2:$E$101)</f>
        <v>Male</v>
      </c>
      <c r="D30" s="19" t="str">
        <f>_xlfn.XLOOKUP(B30,Sales_Data!$D$2:$D$101,Sales_Data!$M$2:$M$101)</f>
        <v>Abuja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Product_Lookup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Oladipo</cp:lastModifiedBy>
  <dcterms:created xsi:type="dcterms:W3CDTF">2025-10-14T21:28:44Z</dcterms:created>
  <dcterms:modified xsi:type="dcterms:W3CDTF">2025-10-18T10:40:19Z</dcterms:modified>
</cp:coreProperties>
</file>